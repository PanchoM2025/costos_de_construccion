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ropbox\Analisis_de_costos_y_Presupuestacion\Presupuestos\Obras\Obra005\Precios\"/>
    </mc:Choice>
  </mc:AlternateContent>
  <xr:revisionPtr revIDLastSave="0" documentId="8_{34C2CA97-EBF3-43CC-9234-3FCDDD389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8" i="1"/>
</calcChain>
</file>

<file path=xl/sharedStrings.xml><?xml version="1.0" encoding="utf-8"?>
<sst xmlns="http://schemas.openxmlformats.org/spreadsheetml/2006/main" count="66" uniqueCount="51">
  <si>
    <t>Codigo</t>
  </si>
  <si>
    <t>Insumo</t>
  </si>
  <si>
    <t>Unidad</t>
  </si>
  <si>
    <t>1129</t>
  </si>
  <si>
    <t>H. Torsionado Tek=4200Kgr/cm2 - Diam. promedio</t>
  </si>
  <si>
    <t>Kg</t>
  </si>
  <si>
    <t>1131</t>
  </si>
  <si>
    <t>Malla de Acero tipo Sima 15x15 - Diam. 6mm Q188.</t>
  </si>
  <si>
    <t>1212</t>
  </si>
  <si>
    <t>Alambre negro recocido Nro. 16.</t>
  </si>
  <si>
    <t>1223</t>
  </si>
  <si>
    <t>Clavos Punta París  2-3" promedio.</t>
  </si>
  <si>
    <t>1311</t>
  </si>
  <si>
    <t>Tablas de madera p/encofrado s/cepillar 1".</t>
  </si>
  <si>
    <t>m2</t>
  </si>
  <si>
    <t>1341</t>
  </si>
  <si>
    <t>Tirante de pino 3x3</t>
  </si>
  <si>
    <t>ml</t>
  </si>
  <si>
    <t>1411</t>
  </si>
  <si>
    <t>Cemento Portland normal bolsa de 50Kgr - 3 pliegos</t>
  </si>
  <si>
    <t>1511</t>
  </si>
  <si>
    <t>Arena gruesa lavada</t>
  </si>
  <si>
    <t>m3</t>
  </si>
  <si>
    <t>1630</t>
  </si>
  <si>
    <t>Canto Rodado / Piedra partida</t>
  </si>
  <si>
    <t>2111</t>
  </si>
  <si>
    <t>Ladrillo común</t>
  </si>
  <si>
    <t>un</t>
  </si>
  <si>
    <t>2211</t>
  </si>
  <si>
    <t>Cal Hidraúlica</t>
  </si>
  <si>
    <t>2212</t>
  </si>
  <si>
    <t>Cal Aerea</t>
  </si>
  <si>
    <t>2221</t>
  </si>
  <si>
    <t>Arena Mediana</t>
  </si>
  <si>
    <t>2222</t>
  </si>
  <si>
    <t>Arena Fina</t>
  </si>
  <si>
    <t>2251</t>
  </si>
  <si>
    <t>Hidrófugo Inorgánico tipo SIKA</t>
  </si>
  <si>
    <t>5121</t>
  </si>
  <si>
    <t>Ceramico Esmaltado 30/30</t>
  </si>
  <si>
    <t>6211</t>
  </si>
  <si>
    <t>Puerta entrada en madera, tablero marco BWG 0,90m.</t>
  </si>
  <si>
    <t>6212</t>
  </si>
  <si>
    <t>Puerta placa pino 2", marco BWG 0,80m.</t>
  </si>
  <si>
    <t>9131</t>
  </si>
  <si>
    <t>Latex Blanco</t>
  </si>
  <si>
    <t>lt</t>
  </si>
  <si>
    <t>9191</t>
  </si>
  <si>
    <t>Imprimación fijador sellador</t>
  </si>
  <si>
    <t>9192</t>
  </si>
  <si>
    <t>Enduído plástico al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</si>
</sst>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H14" sqref="H14:I14"/>
    </sheetView>
  </sheetViews>
  <sheetFormatPr baseColWidth="10" defaultColWidth="8.88671875" defaultRowHeight="14.4" x14ac:dyDescent="0.3"/>
  <cols>
    <col min="1" max="1" width="8.88671875" style="1"/>
    <col min="2" max="2" width="45.88671875" bestFit="1" customWidth="1"/>
    <col min="3" max="3" width="8.88671875" style="1"/>
    <col min="4" max="4" width="8.88671875" style="2"/>
  </cols>
  <sheetData>
    <row r="1" spans="1:4" x14ac:dyDescent="0.3">
      <c r="A1" s="1" t="s">
        <v>0</v>
      </c>
      <c r="B1" t="s">
        <v>1</v>
      </c>
      <c r="C1" s="1" t="s">
        <v>2</v>
      </c>
    </row>
    <row r="2" spans="1:4" x14ac:dyDescent="0.3">
      <c r="A2" s="1" t="s">
        <v>3</v>
      </c>
      <c r="B2" t="s">
        <v>4</v>
      </c>
      <c r="C2" s="1" t="s">
        <v>5</v>
      </c>
      <c r="D2" s="2">
        <f>1333.33333333333/0.62</f>
        <v>2150.5376344086021</v>
      </c>
    </row>
    <row r="3" spans="1:4" x14ac:dyDescent="0.3">
      <c r="A3" s="1" t="s">
        <v>6</v>
      </c>
      <c r="B3" t="s">
        <v>7</v>
      </c>
      <c r="C3" s="1" t="s">
        <v>5</v>
      </c>
      <c r="D3" s="2">
        <f>59000/6/2/3</f>
        <v>1638.8888888888889</v>
      </c>
    </row>
    <row r="4" spans="1:4" x14ac:dyDescent="0.3">
      <c r="A4" s="1" t="s">
        <v>8</v>
      </c>
      <c r="B4" t="s">
        <v>9</v>
      </c>
      <c r="C4" s="1" t="s">
        <v>5</v>
      </c>
      <c r="D4" s="2">
        <v>6000</v>
      </c>
    </row>
    <row r="5" spans="1:4" x14ac:dyDescent="0.3">
      <c r="A5" s="1" t="s">
        <v>10</v>
      </c>
      <c r="B5" t="s">
        <v>11</v>
      </c>
      <c r="C5" s="1" t="s">
        <v>5</v>
      </c>
      <c r="D5" s="2">
        <v>8000</v>
      </c>
    </row>
    <row r="6" spans="1:4" x14ac:dyDescent="0.3">
      <c r="A6" s="1" t="s">
        <v>12</v>
      </c>
      <c r="B6" t="s">
        <v>13</v>
      </c>
      <c r="C6" s="1" t="s">
        <v>14</v>
      </c>
    </row>
    <row r="7" spans="1:4" x14ac:dyDescent="0.3">
      <c r="A7" s="1" t="s">
        <v>15</v>
      </c>
      <c r="B7" t="s">
        <v>16</v>
      </c>
      <c r="C7" s="1" t="s">
        <v>17</v>
      </c>
    </row>
    <row r="8" spans="1:4" x14ac:dyDescent="0.3">
      <c r="A8" s="1" t="s">
        <v>18</v>
      </c>
      <c r="B8" t="s">
        <v>19</v>
      </c>
      <c r="C8" s="1" t="s">
        <v>5</v>
      </c>
      <c r="D8" s="2">
        <f>8000/25</f>
        <v>320</v>
      </c>
    </row>
    <row r="9" spans="1:4" x14ac:dyDescent="0.3">
      <c r="A9" s="1" t="s">
        <v>20</v>
      </c>
      <c r="B9" t="s">
        <v>21</v>
      </c>
      <c r="C9" s="1" t="s">
        <v>22</v>
      </c>
      <c r="D9" s="2">
        <v>40000</v>
      </c>
    </row>
    <row r="10" spans="1:4" x14ac:dyDescent="0.3">
      <c r="A10" s="1" t="s">
        <v>23</v>
      </c>
      <c r="B10" t="s">
        <v>24</v>
      </c>
      <c r="C10" s="1" t="s">
        <v>22</v>
      </c>
      <c r="D10" s="2">
        <v>80000</v>
      </c>
    </row>
    <row r="11" spans="1:4" x14ac:dyDescent="0.3">
      <c r="A11" s="1" t="s">
        <v>25</v>
      </c>
      <c r="B11" t="s">
        <v>26</v>
      </c>
      <c r="C11" s="1" t="s">
        <v>27</v>
      </c>
      <c r="D11" s="2">
        <v>240</v>
      </c>
    </row>
    <row r="12" spans="1:4" x14ac:dyDescent="0.3">
      <c r="A12" s="1" t="s">
        <v>28</v>
      </c>
      <c r="B12" t="s">
        <v>29</v>
      </c>
      <c r="C12" s="1" t="s">
        <v>5</v>
      </c>
      <c r="D12" s="2">
        <v>7000</v>
      </c>
    </row>
    <row r="13" spans="1:4" x14ac:dyDescent="0.3">
      <c r="A13" s="1" t="s">
        <v>30</v>
      </c>
      <c r="B13" t="s">
        <v>31</v>
      </c>
      <c r="C13" s="1" t="s">
        <v>14</v>
      </c>
      <c r="D13" s="2">
        <v>20000</v>
      </c>
    </row>
    <row r="14" spans="1:4" x14ac:dyDescent="0.3">
      <c r="A14" s="1" t="s">
        <v>32</v>
      </c>
      <c r="B14" t="s">
        <v>33</v>
      </c>
      <c r="C14" s="1" t="s">
        <v>22</v>
      </c>
      <c r="D14" s="2">
        <v>85000</v>
      </c>
    </row>
    <row r="15" spans="1:4" x14ac:dyDescent="0.3">
      <c r="A15" s="1" t="s">
        <v>34</v>
      </c>
      <c r="B15" t="s">
        <v>35</v>
      </c>
      <c r="C15" s="1" t="s">
        <v>22</v>
      </c>
      <c r="D15" s="2">
        <v>80000</v>
      </c>
    </row>
    <row r="16" spans="1:4" x14ac:dyDescent="0.3">
      <c r="A16" s="1" t="s">
        <v>36</v>
      </c>
      <c r="B16" t="s">
        <v>37</v>
      </c>
      <c r="C16" s="1" t="s">
        <v>5</v>
      </c>
      <c r="D16" s="2">
        <v>2400</v>
      </c>
    </row>
    <row r="17" spans="1:4" x14ac:dyDescent="0.3">
      <c r="A17" s="1" t="s">
        <v>38</v>
      </c>
      <c r="B17" t="s">
        <v>39</v>
      </c>
      <c r="C17" s="1" t="s">
        <v>14</v>
      </c>
      <c r="D17" s="2">
        <v>8900</v>
      </c>
    </row>
    <row r="18" spans="1:4" x14ac:dyDescent="0.3">
      <c r="A18" s="1" t="s">
        <v>40</v>
      </c>
      <c r="B18" t="s">
        <v>41</v>
      </c>
      <c r="C18" s="1" t="s">
        <v>27</v>
      </c>
    </row>
    <row r="19" spans="1:4" x14ac:dyDescent="0.3">
      <c r="A19" s="1" t="s">
        <v>42</v>
      </c>
      <c r="B19" t="s">
        <v>43</v>
      </c>
      <c r="C19" s="1" t="s">
        <v>27</v>
      </c>
    </row>
    <row r="20" spans="1:4" x14ac:dyDescent="0.3">
      <c r="A20" s="1" t="s">
        <v>44</v>
      </c>
      <c r="B20" t="s">
        <v>45</v>
      </c>
      <c r="C20" s="1" t="s">
        <v>46</v>
      </c>
    </row>
    <row r="21" spans="1:4" x14ac:dyDescent="0.3">
      <c r="A21" s="1" t="s">
        <v>47</v>
      </c>
      <c r="B21" t="s">
        <v>48</v>
      </c>
      <c r="C21" s="1" t="s">
        <v>46</v>
      </c>
    </row>
    <row r="22" spans="1:4" x14ac:dyDescent="0.3">
      <c r="A22" s="1" t="s">
        <v>49</v>
      </c>
      <c r="B22" t="s">
        <v>50</v>
      </c>
      <c r="C22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A. Marseillan</cp:lastModifiedBy>
  <dcterms:created xsi:type="dcterms:W3CDTF">2026-08-05T20:04:56Z</dcterms:created>
  <dcterms:modified xsi:type="dcterms:W3CDTF">2026-08-06T18:29:42Z</dcterms:modified>
</cp:coreProperties>
</file>