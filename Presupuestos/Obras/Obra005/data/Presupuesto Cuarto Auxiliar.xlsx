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opbox\Analisis_de_costos_y_Presupuestacion\Presupuestos\Obras\Obra005\data\"/>
    </mc:Choice>
  </mc:AlternateContent>
  <xr:revisionPtr revIDLastSave="0" documentId="8_{576C83F0-847A-48BF-81FB-93BD3CD727EA}" xr6:coauthVersionLast="47" xr6:coauthVersionMax="47" xr10:uidLastSave="{00000000-0000-0000-0000-000000000000}"/>
  <bookViews>
    <workbookView xWindow="-108" yWindow="-108" windowWidth="23256" windowHeight="12456" activeTab="1" xr2:uid="{1AAD3A2E-81B9-4E7C-86DF-D3E57A096F1F}"/>
  </bookViews>
  <sheets>
    <sheet name="Steel Frame" sheetId="2" r:id="rId1"/>
    <sheet name="Mampostería" sheetId="3" r:id="rId2"/>
  </sheets>
  <definedNames>
    <definedName name="___xlnm.Print_Area" localSheetId="1">Mampostería!$A$2:$E$65</definedName>
    <definedName name="___xlnm.Print_Area" localSheetId="0">'Steel Frame'!$B$5:$F$81</definedName>
    <definedName name="___xlnm.Print_Titles" localSheetId="1">Mampostería!$1:$1</definedName>
    <definedName name="___xlnm.Print_Titles" localSheetId="0">'Steel Frame'!$4:$4</definedName>
    <definedName name="__xlnm.Print_Area" localSheetId="1">Mampostería!$A$3:$E$65</definedName>
    <definedName name="__xlnm.Print_Area" localSheetId="0">'Steel Frame'!$B$6:$F$81</definedName>
    <definedName name="__xlnm.Print_Titles" localSheetId="1">Mampostería!$A$1:$E$1</definedName>
    <definedName name="__xlnm.Print_Titles" localSheetId="0">'Steel Frame'!$B$4:$F$4</definedName>
    <definedName name="_xlnm.Print_Area" localSheetId="1">Mampostería!$A$2:$E$65</definedName>
    <definedName name="_xlnm.Print_Area" localSheetId="0">'Steel Frame'!$B$4:$F$81</definedName>
    <definedName name="Dns_1833_4_Presupuesto_List">"#REF!"</definedName>
    <definedName name="Excel_BuiltIn_Print_Area" localSheetId="1">Mampostería!$A$1:$E$65</definedName>
    <definedName name="Excel_BuiltIn_Print_Area" localSheetId="0">'Steel Frame'!$B$4:$F$81</definedName>
    <definedName name="_xlnm.Print_Titles" localSheetId="1">Mampostería!$1:$1</definedName>
    <definedName name="_xlnm.Print_Titles" localSheetId="0">'Steel Frame'!$4:$4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0" i="3" l="1"/>
  <c r="E33" i="3"/>
  <c r="E56" i="3"/>
  <c r="E61" i="3"/>
  <c r="E27" i="3"/>
  <c r="E24" i="3"/>
  <c r="E25" i="3" s="1"/>
  <c r="E20" i="3"/>
  <c r="E19" i="3"/>
  <c r="E18" i="3"/>
  <c r="E28" i="3"/>
  <c r="E29" i="3" s="1"/>
  <c r="E13" i="3"/>
  <c r="E9" i="3"/>
  <c r="E12" i="3"/>
  <c r="E58" i="3"/>
  <c r="E54" i="3"/>
  <c r="E34" i="3"/>
  <c r="E35" i="3" s="1"/>
  <c r="E31" i="3"/>
  <c r="E15" i="3"/>
  <c r="E16" i="3" s="1"/>
  <c r="E17" i="3" s="1"/>
  <c r="E11" i="3"/>
  <c r="F37" i="2"/>
  <c r="F7" i="2"/>
  <c r="F43" i="2"/>
  <c r="F46" i="2" s="1"/>
  <c r="F47" i="2" s="1"/>
  <c r="F48" i="2" s="1"/>
  <c r="F49" i="2" s="1"/>
  <c r="F50" i="2" s="1"/>
  <c r="F51" i="2" s="1"/>
  <c r="F32" i="2"/>
  <c r="F74" i="2"/>
  <c r="F31" i="2"/>
  <c r="F26" i="2"/>
  <c r="F27" i="2" s="1"/>
  <c r="F28" i="2" s="1"/>
  <c r="F29" i="2" s="1"/>
  <c r="F30" i="2" s="1"/>
  <c r="F33" i="2" s="1"/>
  <c r="F34" i="2" s="1"/>
  <c r="F19" i="2"/>
  <c r="F20" i="2" s="1"/>
  <c r="F21" i="2" s="1"/>
  <c r="F13" i="2"/>
  <c r="F17" i="2"/>
  <c r="F16" i="2"/>
  <c r="F72" i="2"/>
  <c r="F70" i="2"/>
  <c r="F15" i="2"/>
  <c r="E21" i="3" l="1"/>
</calcChain>
</file>

<file path=xl/sharedStrings.xml><?xml version="1.0" encoding="utf-8"?>
<sst xmlns="http://schemas.openxmlformats.org/spreadsheetml/2006/main" count="393" uniqueCount="106">
  <si>
    <t>gl</t>
  </si>
  <si>
    <t>Limpieza obra</t>
  </si>
  <si>
    <t>Ayuda de gremios</t>
  </si>
  <si>
    <t>Tareas generales</t>
  </si>
  <si>
    <t>m2</t>
  </si>
  <si>
    <t>Albañilería</t>
  </si>
  <si>
    <t>m3</t>
  </si>
  <si>
    <t>Estructura de Hormigón armado</t>
  </si>
  <si>
    <t>Tareas Preliminares</t>
  </si>
  <si>
    <t>Cantidad</t>
  </si>
  <si>
    <t>Un.</t>
  </si>
  <si>
    <t>DESCRIPCION</t>
  </si>
  <si>
    <t>ITEM</t>
  </si>
  <si>
    <t>RUBRO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</si>
  <si>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</si>
  <si>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</si>
  <si>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</si>
  <si>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</si>
  <si>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</si>
  <si>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</si>
  <si>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</si>
  <si>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</si>
  <si>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</si>
  <si>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 xml:space="preserve">Platea de Hormigón armado esp.0,15m </t>
  </si>
  <si>
    <t>Pilotes 0,80 de diametro.</t>
  </si>
  <si>
    <t xml:space="preserve">Poliestireno expandido 1" </t>
  </si>
  <si>
    <t>Carpeta de cemento alisada (5cm)</t>
  </si>
  <si>
    <t>Placa OSB exterior 19mm</t>
  </si>
  <si>
    <t>Fieltro impermeable exterior Tybek</t>
  </si>
  <si>
    <t>Estructura Metálica STEEL FRAME - Sistema EIFS</t>
  </si>
  <si>
    <t>Estructura perfiles C de 100 y U horizontales</t>
  </si>
  <si>
    <t>Placa Durlock Aquaboard 12,5mm</t>
  </si>
  <si>
    <t xml:space="preserve">Tratamiento de juntas placa Aquaboard </t>
  </si>
  <si>
    <t>Bloques EPS de Alta densidad</t>
  </si>
  <si>
    <t>Base Coat Durlock® + Malla Durlock</t>
  </si>
  <si>
    <t>Revestimiento final (Salpicrete llaneado)</t>
  </si>
  <si>
    <t>Lana de vidrio 2" con barrera de vapor</t>
  </si>
  <si>
    <t>Placa de yeso Durlock</t>
  </si>
  <si>
    <t>Cielorraso</t>
  </si>
  <si>
    <t>Estructura independiente (soleras y montantes)</t>
  </si>
  <si>
    <t>Estructura</t>
  </si>
  <si>
    <t>Terminación Exterior</t>
  </si>
  <si>
    <t>Demoliciones</t>
  </si>
  <si>
    <t>Mampostería 0,30 desde antepecho a carpeta</t>
  </si>
  <si>
    <t>Mampostería 0,30 ventiluz en baño</t>
  </si>
  <si>
    <t>Terminación Interior</t>
  </si>
  <si>
    <t>Instalación Eléctrica</t>
  </si>
  <si>
    <t>Centro en cielorraso</t>
  </si>
  <si>
    <t>Tomacorrientes</t>
  </si>
  <si>
    <t>un</t>
  </si>
  <si>
    <t>Boca de luz (brazo)</t>
  </si>
  <si>
    <t>Piso radiante eléctrico</t>
  </si>
  <si>
    <t>Refuerzo cableado desde farol ext. a tablero</t>
  </si>
  <si>
    <t>Canaleta horizontal techo inclinado</t>
  </si>
  <si>
    <t>ml</t>
  </si>
  <si>
    <t>Bajada caño cuadrado</t>
  </si>
  <si>
    <t>Codo 45° desvio bajada existente para empalmar c/nueva</t>
  </si>
  <si>
    <t>Zinguería</t>
  </si>
  <si>
    <t>Babetas de cierre laterales y de frente</t>
  </si>
  <si>
    <t>Molduras</t>
  </si>
  <si>
    <t>Molduras horizontales de 25cm de altura</t>
  </si>
  <si>
    <t>Vigas encadenado 20x30</t>
  </si>
  <si>
    <t>Cortar columnas caño 3"</t>
  </si>
  <si>
    <t>Excavación 2 pozos para nuevas columnas</t>
  </si>
  <si>
    <t>Colocación nuevas columnas caño 3"</t>
  </si>
  <si>
    <t>Corte de estructura y techo sobrante</t>
  </si>
  <si>
    <t>Caño estructural 4x8 nuevo apoyo</t>
  </si>
  <si>
    <t xml:space="preserve">Rehacer cierre en chapa rejilla </t>
  </si>
  <si>
    <t>Excavación 4 pozos 80cm de diámetro</t>
  </si>
  <si>
    <t>Excavación viga de encadenado 30cm</t>
  </si>
  <si>
    <t>Retiro techo demolido y escombros demolición</t>
  </si>
  <si>
    <t>Bloques EPS de Alta densidad en zócalo inferior</t>
  </si>
  <si>
    <t>Molduras perimetrales ventana</t>
  </si>
  <si>
    <t>Bloques EPS de Alta densidad en almohadones verticales</t>
  </si>
  <si>
    <t>Buñas horizontales sobre zócalos</t>
  </si>
  <si>
    <t>Estructura Metálica Cubierta</t>
  </si>
  <si>
    <t>Terminación superior</t>
  </si>
  <si>
    <t>Chapa ondulada galvanizada N°27</t>
  </si>
  <si>
    <t>Estructura perfiles C de 100, transversales c/0,60</t>
  </si>
  <si>
    <t>10</t>
  </si>
  <si>
    <t>Capa aisladora horizontal c/ceresita s/platea (3cm)</t>
  </si>
  <si>
    <t>11</t>
  </si>
  <si>
    <t>Retiro de Ventana de PVC del frente</t>
  </si>
  <si>
    <t>Carpìnterìas</t>
  </si>
  <si>
    <t>Colocaciòn puerta placa (izq) de acceso dormitorio</t>
  </si>
  <si>
    <t>Colocaciòn puerta tablero (izq) de acceso exterior</t>
  </si>
  <si>
    <t>Colocaciòn ventiluz doble vidrio, baño existente</t>
  </si>
  <si>
    <t>04-b</t>
  </si>
  <si>
    <t>04-d</t>
  </si>
  <si>
    <t>12</t>
  </si>
  <si>
    <t>Pintura</t>
  </si>
  <si>
    <t>Pintura interior al Látex en muros y cielorrasos</t>
  </si>
  <si>
    <t xml:space="preserve">Pintura exterior cementicia tipo Lóxon </t>
  </si>
  <si>
    <t>Excavación 2 pozos para  columnas y 4 pozos romanos</t>
  </si>
  <si>
    <t>Colocación nuevas columnas caño 3" (3m c/u)</t>
  </si>
  <si>
    <t>Placas Durlock interior</t>
  </si>
  <si>
    <t>Estructura  Cubierta</t>
  </si>
  <si>
    <t>Revoque completo a la cal exterior</t>
  </si>
  <si>
    <t>Revoque salpicado impermeable interior</t>
  </si>
  <si>
    <t>Mampostería de ladrillos comunes esp 0,30</t>
  </si>
  <si>
    <t>Capa aisladora doble en muros</t>
  </si>
  <si>
    <t>Colocación puerta tablero (izq) de acceso exterior</t>
  </si>
  <si>
    <t>Colocación puerta placa (izq) de acceso dormitorio</t>
  </si>
  <si>
    <t>Colocación ventiluz doble vidrio, baño existente</t>
  </si>
  <si>
    <t>Cabios de pino 2x4  transversales c/0,60</t>
  </si>
  <si>
    <t>Muro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</si>
</sst>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  <charset val="1"/>
    </font>
    <font>
      <sz val="8"/>
      <color indexed="8"/>
      <name val="Tahoma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/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>
      <alignment horizontal="left" vertical="top"/>
    </xf>
  </cellStyleXfs>
  <cellXfs count="26">
    <xf numFmtId="0" fontId="0" fillId="0" borderId="0" xfId="0"/>
    <xf numFmtId="0" fontId="1" fillId="0" borderId="0" xfId="1"/>
    <xf numFmtId="0" fontId="1" fillId="0" borderId="0" xfId="2"/>
    <xf numFmtId="0" fontId="1" fillId="0" borderId="0" xfId="2" applyAlignment="1">
      <alignment vertical="center"/>
    </xf>
    <xf numFmtId="49" fontId="1" fillId="0" borderId="0" xfId="2" applyNumberFormat="1" applyAlignment="1">
      <alignment vertical="center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1" xfId="2" applyFont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 applyProtection="1">
      <alignment horizontal="center" vertical="center"/>
      <protection locked="0"/>
    </xf>
    <xf numFmtId="49" fontId="2" fillId="0" borderId="2" xfId="2" applyNumberFormat="1" applyFont="1" applyBorder="1" applyAlignment="1" applyProtection="1">
      <alignment horizontal="center" vertical="center"/>
      <protection locked="0"/>
    </xf>
    <xf numFmtId="49" fontId="1" fillId="0" borderId="0" xfId="2" applyNumberFormat="1"/>
    <xf numFmtId="0" fontId="2" fillId="0" borderId="1" xfId="2" applyFont="1" applyBorder="1" applyAlignment="1" applyProtection="1">
      <alignment horizontal="left" vertical="center" indent="1"/>
      <protection locked="0"/>
    </xf>
    <xf numFmtId="49" fontId="3" fillId="0" borderId="7" xfId="2" applyNumberFormat="1" applyFont="1" applyBorder="1" applyAlignment="1" applyProtection="1">
      <alignment horizontal="center" vertical="center"/>
      <protection locked="0"/>
    </xf>
    <xf numFmtId="164" fontId="2" fillId="0" borderId="8" xfId="2" applyNumberFormat="1" applyFont="1" applyBorder="1" applyAlignment="1" applyProtection="1">
      <alignment vertical="center"/>
      <protection locked="0"/>
    </xf>
    <xf numFmtId="49" fontId="2" fillId="0" borderId="7" xfId="2" applyNumberFormat="1" applyFont="1" applyBorder="1" applyAlignment="1" applyProtection="1">
      <alignment horizontal="center" vertical="center"/>
      <protection locked="0"/>
    </xf>
    <xf numFmtId="4" fontId="2" fillId="0" borderId="8" xfId="2" applyNumberFormat="1" applyFont="1" applyBorder="1" applyAlignment="1" applyProtection="1">
      <alignment vertical="center"/>
      <protection locked="0"/>
    </xf>
    <xf numFmtId="49" fontId="2" fillId="0" borderId="9" xfId="2" applyNumberFormat="1" applyFont="1" applyBorder="1" applyAlignment="1" applyProtection="1">
      <alignment horizontal="center" vertical="center"/>
      <protection locked="0"/>
    </xf>
    <xf numFmtId="49" fontId="2" fillId="0" borderId="10" xfId="2" applyNumberFormat="1" applyFont="1" applyBorder="1" applyAlignment="1" applyProtection="1">
      <alignment horizontal="center" vertical="center"/>
      <protection locked="0"/>
    </xf>
    <xf numFmtId="0" fontId="2" fillId="0" borderId="11" xfId="2" applyFont="1" applyBorder="1" applyAlignment="1" applyProtection="1">
      <alignment horizontal="left" vertical="center" indent="1"/>
      <protection locked="0"/>
    </xf>
    <xf numFmtId="0" fontId="2" fillId="0" borderId="11" xfId="2" applyFont="1" applyBorder="1" applyAlignment="1" applyProtection="1">
      <alignment horizontal="center" vertical="center"/>
      <protection locked="0"/>
    </xf>
    <xf numFmtId="4" fontId="2" fillId="0" borderId="12" xfId="2" applyNumberFormat="1" applyFont="1" applyBorder="1" applyAlignment="1" applyProtection="1">
      <alignment vertical="center"/>
      <protection locked="0"/>
    </xf>
    <xf numFmtId="49" fontId="3" fillId="2" borderId="3" xfId="2" applyNumberFormat="1" applyFont="1" applyFill="1" applyBorder="1" applyAlignment="1" applyProtection="1">
      <alignment horizontal="center" vertical="center"/>
      <protection locked="0"/>
    </xf>
    <xf numFmtId="49" fontId="3" fillId="2" borderId="4" xfId="2" applyNumberFormat="1" applyFont="1" applyFill="1" applyBorder="1" applyAlignment="1" applyProtection="1">
      <alignment horizontal="center" vertical="center"/>
      <protection locked="0"/>
    </xf>
    <xf numFmtId="0" fontId="3" fillId="2" borderId="5" xfId="2" applyFont="1" applyFill="1" applyBorder="1" applyAlignment="1" applyProtection="1">
      <alignment horizontal="center" vertical="center"/>
      <protection locked="0"/>
    </xf>
    <xf numFmtId="0" fontId="3" fillId="2" borderId="6" xfId="2" applyFont="1" applyFill="1" applyBorder="1" applyAlignment="1" applyProtection="1">
      <alignment horizontal="center" vertical="center"/>
      <protection locked="0"/>
    </xf>
  </cellXfs>
  <cellStyles count="4">
    <cellStyle name="Excel Built-in Normal" xfId="1" xr:uid="{84911FC7-2549-4378-BDF6-2E0E2E1BDB96}"/>
    <cellStyle name="Excel Built-in Normal 1" xfId="2" xr:uid="{F937E08A-AAB7-4BCD-87F2-69A6629B16ED}"/>
    <cellStyle name="Normal" xfId="0" builtinId="0"/>
    <cellStyle name="Normal 2 2" xfId="3" xr:uid="{0CE27C84-EE71-4C07-9390-3D1DD274E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E61-31D7-4B04-9AF2-B77DEF449D7E}">
  <sheetPr>
    <pageSetUpPr fitToPage="1"/>
  </sheetPr>
  <dimension ref="B3:GZ83"/>
  <sheetViews>
    <sheetView showZeros="0" topLeftCell="A13" workbookViewId="0">
      <selection activeCell="B27" sqref="B27:F27"/>
    </sheetView>
  </sheetViews>
  <sheetFormatPr baseColWidth="10" defaultColWidth="11.5546875" defaultRowHeight="13.2" x14ac:dyDescent="0.25"/>
  <cols>
    <col min="1" max="1" width="11.5546875" style="1"/>
    <col min="2" max="3" width="7.21875" style="11" customWidth="1"/>
    <col min="4" max="4" width="49.44140625" style="2" customWidth="1"/>
    <col min="5" max="5" width="5.6640625" style="2" customWidth="1"/>
    <col min="6" max="6" width="9.77734375" style="2" customWidth="1"/>
    <col min="7" max="208" width="8.77734375" style="2" customWidth="1"/>
    <col min="209" max="16384" width="11.5546875" style="1"/>
  </cols>
  <sheetData>
    <row r="3" spans="2:6" ht="13.8" thickBot="1" x14ac:dyDescent="0.3"/>
    <row r="4" spans="2:6" ht="27.6" customHeight="1" thickTop="1" thickBot="1" x14ac:dyDescent="0.3">
      <c r="B4" s="22" t="s">
        <v>13</v>
      </c>
      <c r="C4" s="23" t="s">
        <v>12</v>
      </c>
      <c r="D4" s="24" t="s">
        <v>11</v>
      </c>
      <c r="E4" s="24" t="s">
        <v>10</v>
      </c>
      <c r="F4" s="25" t="s">
        <v>9</v>
      </c>
    </row>
    <row r="5" spans="2:6" ht="14.4" customHeight="1" x14ac:dyDescent="0.25">
      <c r="B5" s="13" t="s">
        <v>14</v>
      </c>
      <c r="C5" s="9"/>
      <c r="D5" s="8" t="s">
        <v>8</v>
      </c>
      <c r="E5" s="5"/>
      <c r="F5" s="14"/>
    </row>
    <row r="6" spans="2:6" ht="14.4" customHeight="1" x14ac:dyDescent="0.25">
      <c r="B6" s="15"/>
      <c r="C6" s="10" t="s">
        <v>14</v>
      </c>
      <c r="D6" s="12" t="s">
        <v>62</v>
      </c>
      <c r="E6" s="5" t="s">
        <v>49</v>
      </c>
      <c r="F6" s="14">
        <v>2</v>
      </c>
    </row>
    <row r="7" spans="2:6" ht="14.4" customHeight="1" x14ac:dyDescent="0.25">
      <c r="B7" s="15"/>
      <c r="C7" s="10" t="s">
        <v>15</v>
      </c>
      <c r="D7" s="12" t="s">
        <v>63</v>
      </c>
      <c r="E7" s="5" t="s">
        <v>6</v>
      </c>
      <c r="F7" s="14">
        <f>0.3*0.3*0.4*2</f>
        <v>7.1999999999999995E-2</v>
      </c>
    </row>
    <row r="8" spans="2:6" ht="14.4" customHeight="1" x14ac:dyDescent="0.25">
      <c r="B8" s="15"/>
      <c r="C8" s="10" t="s">
        <v>16</v>
      </c>
      <c r="D8" s="12" t="s">
        <v>64</v>
      </c>
      <c r="E8" s="5" t="s">
        <v>49</v>
      </c>
      <c r="F8" s="14">
        <v>2</v>
      </c>
    </row>
    <row r="9" spans="2:6" ht="14.4" customHeight="1" x14ac:dyDescent="0.25">
      <c r="B9" s="15"/>
      <c r="C9" s="10" t="s">
        <v>17</v>
      </c>
      <c r="D9" s="12" t="s">
        <v>66</v>
      </c>
      <c r="E9" s="5" t="s">
        <v>54</v>
      </c>
      <c r="F9" s="14">
        <v>3.1</v>
      </c>
    </row>
    <row r="10" spans="2:6" ht="14.4" customHeight="1" x14ac:dyDescent="0.25">
      <c r="B10" s="15"/>
      <c r="C10" s="10" t="s">
        <v>18</v>
      </c>
      <c r="D10" s="12" t="s">
        <v>65</v>
      </c>
      <c r="E10" s="5" t="s">
        <v>0</v>
      </c>
      <c r="F10" s="14">
        <v>1</v>
      </c>
    </row>
    <row r="11" spans="2:6" ht="14.4" customHeight="1" x14ac:dyDescent="0.25">
      <c r="B11" s="15"/>
      <c r="C11" s="10" t="s">
        <v>19</v>
      </c>
      <c r="D11" s="12" t="s">
        <v>67</v>
      </c>
      <c r="E11" s="5" t="s">
        <v>0</v>
      </c>
      <c r="F11" s="14">
        <v>1</v>
      </c>
    </row>
    <row r="12" spans="2:6" ht="14.4" customHeight="1" x14ac:dyDescent="0.25">
      <c r="B12" s="15"/>
      <c r="C12" s="10" t="s">
        <v>20</v>
      </c>
      <c r="D12" s="12" t="s">
        <v>68</v>
      </c>
      <c r="E12" s="5" t="s">
        <v>6</v>
      </c>
      <c r="F12" s="14">
        <v>1</v>
      </c>
    </row>
    <row r="13" spans="2:6" ht="14.4" customHeight="1" x14ac:dyDescent="0.25">
      <c r="B13" s="15"/>
      <c r="C13" s="10" t="s">
        <v>21</v>
      </c>
      <c r="D13" s="12" t="s">
        <v>69</v>
      </c>
      <c r="E13" s="5" t="s">
        <v>6</v>
      </c>
      <c r="F13" s="14">
        <f>7.7*0.3*0.2</f>
        <v>0.46200000000000002</v>
      </c>
    </row>
    <row r="14" spans="2:6" ht="14.4" customHeight="1" x14ac:dyDescent="0.25">
      <c r="B14" s="13" t="s">
        <v>15</v>
      </c>
      <c r="C14" s="9"/>
      <c r="D14" s="7" t="s">
        <v>7</v>
      </c>
      <c r="E14" s="5"/>
      <c r="F14" s="14"/>
    </row>
    <row r="15" spans="2:6" ht="14.4" customHeight="1" x14ac:dyDescent="0.25">
      <c r="B15" s="15"/>
      <c r="C15" s="10" t="s">
        <v>14</v>
      </c>
      <c r="D15" s="12" t="s">
        <v>24</v>
      </c>
      <c r="E15" s="5" t="s">
        <v>6</v>
      </c>
      <c r="F15" s="16">
        <f>4*0.8*0.8*1</f>
        <v>2.5600000000000005</v>
      </c>
    </row>
    <row r="16" spans="2:6" ht="14.4" customHeight="1" x14ac:dyDescent="0.25">
      <c r="B16" s="15"/>
      <c r="C16" s="10" t="s">
        <v>15</v>
      </c>
      <c r="D16" s="12" t="s">
        <v>23</v>
      </c>
      <c r="E16" s="5" t="s">
        <v>4</v>
      </c>
      <c r="F16" s="16">
        <f>2.3+3.1</f>
        <v>5.4</v>
      </c>
    </row>
    <row r="17" spans="2:6" ht="14.4" customHeight="1" x14ac:dyDescent="0.25">
      <c r="B17" s="15"/>
      <c r="C17" s="10" t="s">
        <v>16</v>
      </c>
      <c r="D17" s="12" t="s">
        <v>61</v>
      </c>
      <c r="E17" s="5" t="s">
        <v>6</v>
      </c>
      <c r="F17" s="16">
        <f>+(2.3*2+3.1)*0.2*0.3</f>
        <v>0.46199999999999997</v>
      </c>
    </row>
    <row r="18" spans="2:6" ht="14.4" customHeight="1" x14ac:dyDescent="0.25">
      <c r="B18" s="13" t="s">
        <v>16</v>
      </c>
      <c r="C18" s="9"/>
      <c r="D18" s="7" t="s">
        <v>5</v>
      </c>
      <c r="E18" s="5"/>
      <c r="F18" s="14"/>
    </row>
    <row r="19" spans="2:6" ht="14.4" customHeight="1" x14ac:dyDescent="0.25">
      <c r="B19" s="15"/>
      <c r="C19" s="10" t="s">
        <v>14</v>
      </c>
      <c r="D19" s="12" t="s">
        <v>80</v>
      </c>
      <c r="E19" s="5" t="s">
        <v>4</v>
      </c>
      <c r="F19" s="16">
        <f>2.3*3.1</f>
        <v>7.13</v>
      </c>
    </row>
    <row r="20" spans="2:6" ht="14.4" customHeight="1" x14ac:dyDescent="0.25">
      <c r="B20" s="15"/>
      <c r="C20" s="10" t="s">
        <v>15</v>
      </c>
      <c r="D20" s="12" t="s">
        <v>25</v>
      </c>
      <c r="E20" s="5" t="s">
        <v>4</v>
      </c>
      <c r="F20" s="16">
        <f>+F19</f>
        <v>7.13</v>
      </c>
    </row>
    <row r="21" spans="2:6" ht="14.4" customHeight="1" x14ac:dyDescent="0.25">
      <c r="B21" s="15"/>
      <c r="C21" s="10" t="s">
        <v>16</v>
      </c>
      <c r="D21" s="12" t="s">
        <v>26</v>
      </c>
      <c r="E21" s="5" t="s">
        <v>4</v>
      </c>
      <c r="F21" s="16">
        <f>+F20</f>
        <v>7.13</v>
      </c>
    </row>
    <row r="22" spans="2:6" ht="14.4" customHeight="1" x14ac:dyDescent="0.25">
      <c r="B22" s="13" t="s">
        <v>17</v>
      </c>
      <c r="C22" s="9"/>
      <c r="D22" s="7" t="s">
        <v>29</v>
      </c>
      <c r="E22" s="5"/>
      <c r="F22" s="14"/>
    </row>
    <row r="23" spans="2:6" ht="14.4" customHeight="1" x14ac:dyDescent="0.25">
      <c r="B23" s="15"/>
      <c r="C23" s="10"/>
      <c r="D23" s="6" t="s">
        <v>40</v>
      </c>
      <c r="E23" s="5"/>
      <c r="F23" s="16"/>
    </row>
    <row r="24" spans="2:6" ht="14.4" customHeight="1" x14ac:dyDescent="0.25">
      <c r="B24" s="15"/>
      <c r="C24" s="10" t="s">
        <v>14</v>
      </c>
      <c r="D24" s="12" t="s">
        <v>30</v>
      </c>
      <c r="E24" s="5" t="s">
        <v>4</v>
      </c>
      <c r="F24" s="16">
        <v>27</v>
      </c>
    </row>
    <row r="25" spans="2:6" ht="14.4" customHeight="1" x14ac:dyDescent="0.25">
      <c r="B25" s="15"/>
      <c r="C25" s="10"/>
      <c r="D25" s="6" t="s">
        <v>41</v>
      </c>
      <c r="E25" s="5"/>
      <c r="F25" s="16"/>
    </row>
    <row r="26" spans="2:6" ht="14.4" customHeight="1" x14ac:dyDescent="0.25">
      <c r="B26" s="15"/>
      <c r="C26" s="10" t="s">
        <v>15</v>
      </c>
      <c r="D26" s="12" t="s">
        <v>27</v>
      </c>
      <c r="E26" s="5" t="s">
        <v>4</v>
      </c>
      <c r="F26" s="16">
        <f>+F24</f>
        <v>27</v>
      </c>
    </row>
    <row r="27" spans="2:6" ht="14.4" customHeight="1" x14ac:dyDescent="0.25">
      <c r="B27" s="15"/>
      <c r="C27" s="10" t="s">
        <v>16</v>
      </c>
      <c r="D27" s="12" t="s">
        <v>28</v>
      </c>
      <c r="E27" s="5" t="s">
        <v>4</v>
      </c>
      <c r="F27" s="16">
        <f>+F26</f>
        <v>27</v>
      </c>
    </row>
    <row r="28" spans="2:6" ht="14.4" customHeight="1" x14ac:dyDescent="0.25">
      <c r="B28" s="15"/>
      <c r="C28" s="10" t="s">
        <v>17</v>
      </c>
      <c r="D28" s="12" t="s">
        <v>31</v>
      </c>
      <c r="E28" s="5" t="s">
        <v>4</v>
      </c>
      <c r="F28" s="16">
        <f>+F27</f>
        <v>27</v>
      </c>
    </row>
    <row r="29" spans="2:6" ht="14.4" customHeight="1" x14ac:dyDescent="0.25">
      <c r="B29" s="15"/>
      <c r="C29" s="10" t="s">
        <v>18</v>
      </c>
      <c r="D29" s="12" t="s">
        <v>32</v>
      </c>
      <c r="E29" s="5" t="s">
        <v>4</v>
      </c>
      <c r="F29" s="16">
        <f>+F28</f>
        <v>27</v>
      </c>
    </row>
    <row r="30" spans="2:6" ht="14.4" customHeight="1" x14ac:dyDescent="0.25">
      <c r="B30" s="15"/>
      <c r="C30" s="10" t="s">
        <v>19</v>
      </c>
      <c r="D30" s="12" t="s">
        <v>33</v>
      </c>
      <c r="E30" s="5" t="s">
        <v>4</v>
      </c>
      <c r="F30" s="16">
        <f>+F29</f>
        <v>27</v>
      </c>
    </row>
    <row r="31" spans="2:6" ht="14.4" customHeight="1" x14ac:dyDescent="0.25">
      <c r="B31" s="15"/>
      <c r="C31" s="10"/>
      <c r="D31" s="12" t="s">
        <v>71</v>
      </c>
      <c r="E31" s="5" t="s">
        <v>4</v>
      </c>
      <c r="F31" s="16">
        <f>7.7*0.6</f>
        <v>4.62</v>
      </c>
    </row>
    <row r="32" spans="2:6" ht="14.4" customHeight="1" x14ac:dyDescent="0.25">
      <c r="B32" s="15"/>
      <c r="C32" s="10"/>
      <c r="D32" s="12" t="s">
        <v>73</v>
      </c>
      <c r="E32" s="5" t="s">
        <v>4</v>
      </c>
      <c r="F32" s="16">
        <f>0.8*3*2</f>
        <v>4.8000000000000007</v>
      </c>
    </row>
    <row r="33" spans="2:6" ht="14.4" customHeight="1" x14ac:dyDescent="0.25">
      <c r="B33" s="15"/>
      <c r="C33" s="10" t="s">
        <v>20</v>
      </c>
      <c r="D33" s="12" t="s">
        <v>34</v>
      </c>
      <c r="E33" s="5" t="s">
        <v>4</v>
      </c>
      <c r="F33" s="16">
        <f>+F30</f>
        <v>27</v>
      </c>
    </row>
    <row r="34" spans="2:6" ht="14.4" customHeight="1" x14ac:dyDescent="0.25">
      <c r="B34" s="15"/>
      <c r="C34" s="10" t="s">
        <v>21</v>
      </c>
      <c r="D34" s="12" t="s">
        <v>35</v>
      </c>
      <c r="E34" s="5" t="s">
        <v>4</v>
      </c>
      <c r="F34" s="16">
        <f>+F33</f>
        <v>27</v>
      </c>
    </row>
    <row r="35" spans="2:6" ht="14.4" customHeight="1" x14ac:dyDescent="0.25">
      <c r="B35" s="15"/>
      <c r="C35" s="10"/>
      <c r="D35" s="6" t="s">
        <v>45</v>
      </c>
      <c r="E35" s="5"/>
      <c r="F35" s="16"/>
    </row>
    <row r="36" spans="2:6" ht="14.4" customHeight="1" x14ac:dyDescent="0.25">
      <c r="B36" s="15"/>
      <c r="C36" s="10" t="s">
        <v>19</v>
      </c>
      <c r="D36" s="12" t="s">
        <v>36</v>
      </c>
      <c r="E36" s="5" t="s">
        <v>4</v>
      </c>
      <c r="F36" s="16">
        <v>22</v>
      </c>
    </row>
    <row r="37" spans="2:6" ht="14.4" customHeight="1" x14ac:dyDescent="0.25">
      <c r="B37" s="15"/>
      <c r="C37" s="10" t="s">
        <v>20</v>
      </c>
      <c r="D37" s="12" t="s">
        <v>37</v>
      </c>
      <c r="E37" s="5" t="s">
        <v>4</v>
      </c>
      <c r="F37" s="16">
        <f>+F36</f>
        <v>22</v>
      </c>
    </row>
    <row r="38" spans="2:6" ht="14.4" customHeight="1" x14ac:dyDescent="0.25">
      <c r="B38" s="15"/>
      <c r="C38" s="10"/>
      <c r="D38" s="6" t="s">
        <v>38</v>
      </c>
      <c r="E38" s="5"/>
      <c r="F38" s="16"/>
    </row>
    <row r="39" spans="2:6" ht="14.4" customHeight="1" x14ac:dyDescent="0.25">
      <c r="B39" s="15"/>
      <c r="C39" s="10" t="s">
        <v>21</v>
      </c>
      <c r="D39" s="12" t="s">
        <v>39</v>
      </c>
      <c r="E39" s="5" t="s">
        <v>4</v>
      </c>
      <c r="F39" s="16">
        <v>7</v>
      </c>
    </row>
    <row r="40" spans="2:6" ht="14.4" customHeight="1" x14ac:dyDescent="0.25">
      <c r="B40" s="15"/>
      <c r="C40" s="10" t="s">
        <v>22</v>
      </c>
      <c r="D40" s="12" t="s">
        <v>37</v>
      </c>
      <c r="E40" s="5" t="s">
        <v>4</v>
      </c>
      <c r="F40" s="16">
        <v>7</v>
      </c>
    </row>
    <row r="41" spans="2:6" ht="14.4" customHeight="1" x14ac:dyDescent="0.25">
      <c r="B41" s="13" t="s">
        <v>18</v>
      </c>
      <c r="C41" s="9"/>
      <c r="D41" s="7" t="s">
        <v>75</v>
      </c>
      <c r="E41" s="5"/>
      <c r="F41" s="14"/>
    </row>
    <row r="42" spans="2:6" ht="14.4" customHeight="1" x14ac:dyDescent="0.25">
      <c r="B42" s="15"/>
      <c r="C42" s="10"/>
      <c r="D42" s="6" t="s">
        <v>40</v>
      </c>
      <c r="E42" s="5"/>
      <c r="F42" s="16"/>
    </row>
    <row r="43" spans="2:6" ht="14.4" customHeight="1" x14ac:dyDescent="0.25">
      <c r="B43" s="15"/>
      <c r="C43" s="10" t="s">
        <v>14</v>
      </c>
      <c r="D43" s="12" t="s">
        <v>78</v>
      </c>
      <c r="E43" s="5" t="s">
        <v>54</v>
      </c>
      <c r="F43" s="16">
        <f>6*2.3</f>
        <v>13.799999999999999</v>
      </c>
    </row>
    <row r="44" spans="2:6" ht="14.4" customHeight="1" x14ac:dyDescent="0.25">
      <c r="B44" s="15"/>
      <c r="C44" s="10"/>
      <c r="D44" s="6" t="s">
        <v>76</v>
      </c>
      <c r="E44" s="5"/>
      <c r="F44" s="16"/>
    </row>
    <row r="45" spans="2:6" ht="14.4" customHeight="1" x14ac:dyDescent="0.25">
      <c r="B45" s="15"/>
      <c r="C45" s="10" t="s">
        <v>15</v>
      </c>
      <c r="D45" s="12" t="s">
        <v>27</v>
      </c>
      <c r="E45" s="5" t="s">
        <v>4</v>
      </c>
      <c r="F45" s="16">
        <v>7</v>
      </c>
    </row>
    <row r="46" spans="2:6" ht="14.4" customHeight="1" x14ac:dyDescent="0.25">
      <c r="B46" s="15"/>
      <c r="C46" s="10" t="s">
        <v>16</v>
      </c>
      <c r="D46" s="12" t="s">
        <v>28</v>
      </c>
      <c r="E46" s="5" t="s">
        <v>4</v>
      </c>
      <c r="F46" s="16">
        <f t="shared" ref="F46:F51" si="0">+F45</f>
        <v>7</v>
      </c>
    </row>
    <row r="47" spans="2:6" ht="14.4" customHeight="1" x14ac:dyDescent="0.25">
      <c r="B47" s="15"/>
      <c r="C47" s="10" t="s">
        <v>17</v>
      </c>
      <c r="D47" s="12" t="s">
        <v>31</v>
      </c>
      <c r="E47" s="5" t="s">
        <v>4</v>
      </c>
      <c r="F47" s="16">
        <f t="shared" si="0"/>
        <v>7</v>
      </c>
    </row>
    <row r="48" spans="2:6" ht="14.4" customHeight="1" x14ac:dyDescent="0.25">
      <c r="B48" s="15"/>
      <c r="C48" s="10" t="s">
        <v>18</v>
      </c>
      <c r="D48" s="12" t="s">
        <v>32</v>
      </c>
      <c r="E48" s="5" t="s">
        <v>4</v>
      </c>
      <c r="F48" s="16">
        <f t="shared" si="0"/>
        <v>7</v>
      </c>
    </row>
    <row r="49" spans="2:6" ht="14.4" customHeight="1" x14ac:dyDescent="0.25">
      <c r="B49" s="15"/>
      <c r="C49" s="10" t="s">
        <v>19</v>
      </c>
      <c r="D49" s="12" t="s">
        <v>33</v>
      </c>
      <c r="E49" s="5" t="s">
        <v>4</v>
      </c>
      <c r="F49" s="16">
        <f t="shared" si="0"/>
        <v>7</v>
      </c>
    </row>
    <row r="50" spans="2:6" ht="14.4" customHeight="1" x14ac:dyDescent="0.25">
      <c r="B50" s="15"/>
      <c r="C50" s="10" t="s">
        <v>20</v>
      </c>
      <c r="D50" s="12" t="s">
        <v>34</v>
      </c>
      <c r="E50" s="5" t="s">
        <v>4</v>
      </c>
      <c r="F50" s="16">
        <f t="shared" si="0"/>
        <v>7</v>
      </c>
    </row>
    <row r="51" spans="2:6" ht="14.4" customHeight="1" x14ac:dyDescent="0.25">
      <c r="B51" s="15"/>
      <c r="C51" s="10" t="s">
        <v>21</v>
      </c>
      <c r="D51" s="12" t="s">
        <v>77</v>
      </c>
      <c r="E51" s="5" t="s">
        <v>4</v>
      </c>
      <c r="F51" s="16">
        <f t="shared" si="0"/>
        <v>7</v>
      </c>
    </row>
    <row r="52" spans="2:6" ht="14.4" customHeight="1" x14ac:dyDescent="0.25">
      <c r="B52" s="13" t="s">
        <v>19</v>
      </c>
      <c r="C52" s="9"/>
      <c r="D52" s="7" t="s">
        <v>42</v>
      </c>
      <c r="E52" s="5"/>
      <c r="F52" s="14"/>
    </row>
    <row r="53" spans="2:6" ht="14.4" customHeight="1" x14ac:dyDescent="0.25">
      <c r="B53" s="15"/>
      <c r="C53" s="10" t="s">
        <v>14</v>
      </c>
      <c r="D53" s="12" t="s">
        <v>43</v>
      </c>
      <c r="E53" s="5" t="s">
        <v>0</v>
      </c>
      <c r="F53" s="16">
        <v>1</v>
      </c>
    </row>
    <row r="54" spans="2:6" ht="14.4" customHeight="1" x14ac:dyDescent="0.25">
      <c r="B54" s="15"/>
      <c r="C54" s="10" t="s">
        <v>15</v>
      </c>
      <c r="D54" s="12" t="s">
        <v>82</v>
      </c>
      <c r="E54" s="5" t="s">
        <v>0</v>
      </c>
      <c r="F54" s="16">
        <v>1</v>
      </c>
    </row>
    <row r="55" spans="2:6" ht="14.4" customHeight="1" x14ac:dyDescent="0.25">
      <c r="B55" s="15"/>
      <c r="C55" s="10" t="s">
        <v>16</v>
      </c>
      <c r="D55" s="12" t="s">
        <v>44</v>
      </c>
      <c r="E55" s="5" t="s">
        <v>0</v>
      </c>
      <c r="F55" s="16">
        <v>1</v>
      </c>
    </row>
    <row r="56" spans="2:6" ht="14.4" customHeight="1" x14ac:dyDescent="0.25">
      <c r="B56" s="13" t="s">
        <v>20</v>
      </c>
      <c r="C56" s="9"/>
      <c r="D56" s="7" t="s">
        <v>83</v>
      </c>
      <c r="E56" s="5"/>
      <c r="F56" s="14"/>
    </row>
    <row r="57" spans="2:6" ht="14.4" customHeight="1" x14ac:dyDescent="0.25">
      <c r="B57" s="15"/>
      <c r="C57" s="10" t="s">
        <v>14</v>
      </c>
      <c r="D57" s="12" t="s">
        <v>85</v>
      </c>
      <c r="E57" s="5" t="s">
        <v>49</v>
      </c>
      <c r="F57" s="16">
        <v>1</v>
      </c>
    </row>
    <row r="58" spans="2:6" ht="14.4" customHeight="1" x14ac:dyDescent="0.25">
      <c r="B58" s="15"/>
      <c r="C58" s="10" t="s">
        <v>15</v>
      </c>
      <c r="D58" s="12" t="s">
        <v>84</v>
      </c>
      <c r="E58" s="5" t="s">
        <v>49</v>
      </c>
      <c r="F58" s="16">
        <v>1</v>
      </c>
    </row>
    <row r="59" spans="2:6" ht="14.4" customHeight="1" x14ac:dyDescent="0.25">
      <c r="B59" s="15"/>
      <c r="C59" s="10" t="s">
        <v>16</v>
      </c>
      <c r="D59" s="12" t="s">
        <v>86</v>
      </c>
      <c r="E59" s="5" t="s">
        <v>49</v>
      </c>
      <c r="F59" s="16">
        <v>1</v>
      </c>
    </row>
    <row r="60" spans="2:6" ht="14.4" customHeight="1" x14ac:dyDescent="0.25">
      <c r="B60" s="13" t="s">
        <v>21</v>
      </c>
      <c r="C60" s="9"/>
      <c r="D60" s="7" t="s">
        <v>46</v>
      </c>
      <c r="E60" s="5"/>
      <c r="F60" s="14"/>
    </row>
    <row r="61" spans="2:6" ht="14.4" customHeight="1" x14ac:dyDescent="0.25">
      <c r="B61" s="15"/>
      <c r="C61" s="10" t="s">
        <v>14</v>
      </c>
      <c r="D61" s="12" t="s">
        <v>47</v>
      </c>
      <c r="E61" s="5" t="s">
        <v>49</v>
      </c>
      <c r="F61" s="16">
        <v>1</v>
      </c>
    </row>
    <row r="62" spans="2:6" ht="14.4" customHeight="1" x14ac:dyDescent="0.25">
      <c r="B62" s="15"/>
      <c r="C62" s="10" t="s">
        <v>15</v>
      </c>
      <c r="D62" s="12" t="s">
        <v>48</v>
      </c>
      <c r="E62" s="5" t="s">
        <v>49</v>
      </c>
      <c r="F62" s="16">
        <v>3</v>
      </c>
    </row>
    <row r="63" spans="2:6" ht="14.4" customHeight="1" x14ac:dyDescent="0.25">
      <c r="B63" s="15"/>
      <c r="C63" s="10" t="s">
        <v>16</v>
      </c>
      <c r="D63" s="12" t="s">
        <v>50</v>
      </c>
      <c r="E63" s="5" t="s">
        <v>49</v>
      </c>
      <c r="F63" s="16">
        <v>1</v>
      </c>
    </row>
    <row r="64" spans="2:6" ht="14.4" customHeight="1" x14ac:dyDescent="0.25">
      <c r="B64" s="15"/>
      <c r="C64" s="10" t="s">
        <v>17</v>
      </c>
      <c r="D64" s="12" t="s">
        <v>51</v>
      </c>
      <c r="E64" s="5" t="s">
        <v>49</v>
      </c>
      <c r="F64" s="16">
        <v>1</v>
      </c>
    </row>
    <row r="65" spans="2:6" ht="14.4" customHeight="1" x14ac:dyDescent="0.25">
      <c r="B65" s="15"/>
      <c r="C65" s="10" t="s">
        <v>18</v>
      </c>
      <c r="D65" s="12" t="s">
        <v>52</v>
      </c>
      <c r="E65" s="5" t="s">
        <v>49</v>
      </c>
      <c r="F65" s="16">
        <v>1</v>
      </c>
    </row>
    <row r="66" spans="2:6" ht="14.4" customHeight="1" x14ac:dyDescent="0.25">
      <c r="B66" s="13" t="s">
        <v>22</v>
      </c>
      <c r="C66" s="9"/>
      <c r="D66" s="7" t="s">
        <v>57</v>
      </c>
      <c r="E66" s="5"/>
      <c r="F66" s="14"/>
    </row>
    <row r="67" spans="2:6" ht="14.4" customHeight="1" x14ac:dyDescent="0.25">
      <c r="B67" s="15"/>
      <c r="C67" s="10" t="s">
        <v>14</v>
      </c>
      <c r="D67" s="12" t="s">
        <v>53</v>
      </c>
      <c r="E67" s="5" t="s">
        <v>54</v>
      </c>
      <c r="F67" s="16">
        <v>2.2999999999999998</v>
      </c>
    </row>
    <row r="68" spans="2:6" ht="14.4" customHeight="1" x14ac:dyDescent="0.25">
      <c r="B68" s="15"/>
      <c r="C68" s="10" t="s">
        <v>15</v>
      </c>
      <c r="D68" s="12" t="s">
        <v>55</v>
      </c>
      <c r="E68" s="5" t="s">
        <v>54</v>
      </c>
      <c r="F68" s="16">
        <v>3</v>
      </c>
    </row>
    <row r="69" spans="2:6" ht="14.4" customHeight="1" x14ac:dyDescent="0.25">
      <c r="B69" s="15"/>
      <c r="C69" s="10" t="s">
        <v>16</v>
      </c>
      <c r="D69" s="12" t="s">
        <v>56</v>
      </c>
      <c r="E69" s="5" t="s">
        <v>54</v>
      </c>
      <c r="F69" s="16">
        <v>2</v>
      </c>
    </row>
    <row r="70" spans="2:6" ht="14.4" customHeight="1" x14ac:dyDescent="0.25">
      <c r="B70" s="15"/>
      <c r="C70" s="10" t="s">
        <v>17</v>
      </c>
      <c r="D70" s="12" t="s">
        <v>58</v>
      </c>
      <c r="E70" s="5" t="s">
        <v>54</v>
      </c>
      <c r="F70" s="16">
        <f>2*5.4</f>
        <v>10.8</v>
      </c>
    </row>
    <row r="71" spans="2:6" ht="14.4" customHeight="1" x14ac:dyDescent="0.25">
      <c r="B71" s="13" t="s">
        <v>79</v>
      </c>
      <c r="C71" s="9"/>
      <c r="D71" s="7" t="s">
        <v>59</v>
      </c>
      <c r="E71" s="5"/>
      <c r="F71" s="14"/>
    </row>
    <row r="72" spans="2:6" ht="14.4" customHeight="1" x14ac:dyDescent="0.25">
      <c r="B72" s="15"/>
      <c r="C72" s="10" t="s">
        <v>14</v>
      </c>
      <c r="D72" s="12" t="s">
        <v>60</v>
      </c>
      <c r="E72" s="5" t="s">
        <v>54</v>
      </c>
      <c r="F72" s="16">
        <f>1.8+3.1+2.3</f>
        <v>7.2</v>
      </c>
    </row>
    <row r="73" spans="2:6" ht="14.4" customHeight="1" x14ac:dyDescent="0.25">
      <c r="B73" s="15"/>
      <c r="C73" s="10" t="s">
        <v>15</v>
      </c>
      <c r="D73" s="12" t="s">
        <v>72</v>
      </c>
      <c r="E73" s="5" t="s">
        <v>54</v>
      </c>
      <c r="F73" s="16">
        <v>5.2</v>
      </c>
    </row>
    <row r="74" spans="2:6" ht="14.4" customHeight="1" x14ac:dyDescent="0.25">
      <c r="B74" s="15"/>
      <c r="C74" s="10" t="s">
        <v>16</v>
      </c>
      <c r="D74" s="12" t="s">
        <v>74</v>
      </c>
      <c r="E74" s="5" t="s">
        <v>54</v>
      </c>
      <c r="F74" s="16">
        <f t="shared" ref="F74" si="1">1.8+3.1+2.3</f>
        <v>7.2</v>
      </c>
    </row>
    <row r="75" spans="2:6" ht="14.4" customHeight="1" x14ac:dyDescent="0.25">
      <c r="B75" s="13" t="s">
        <v>81</v>
      </c>
      <c r="C75" s="9"/>
      <c r="D75" s="7" t="s">
        <v>90</v>
      </c>
      <c r="E75" s="5"/>
      <c r="F75" s="14"/>
    </row>
    <row r="76" spans="2:6" ht="14.4" customHeight="1" x14ac:dyDescent="0.25">
      <c r="B76" s="15"/>
      <c r="C76" s="10" t="s">
        <v>14</v>
      </c>
      <c r="D76" s="12" t="s">
        <v>91</v>
      </c>
      <c r="E76" s="5" t="s">
        <v>54</v>
      </c>
      <c r="F76" s="16">
        <v>29</v>
      </c>
    </row>
    <row r="77" spans="2:6" ht="14.4" customHeight="1" x14ac:dyDescent="0.25">
      <c r="B77" s="15"/>
      <c r="C77" s="10" t="s">
        <v>15</v>
      </c>
      <c r="D77" s="12" t="s">
        <v>92</v>
      </c>
      <c r="E77" s="5" t="s">
        <v>54</v>
      </c>
      <c r="F77" s="16">
        <v>22</v>
      </c>
    </row>
    <row r="78" spans="2:6" ht="14.4" customHeight="1" x14ac:dyDescent="0.25">
      <c r="B78" s="13" t="s">
        <v>89</v>
      </c>
      <c r="C78" s="9"/>
      <c r="D78" s="7" t="s">
        <v>3</v>
      </c>
      <c r="E78" s="5"/>
      <c r="F78" s="14"/>
    </row>
    <row r="79" spans="2:6" ht="14.4" customHeight="1" x14ac:dyDescent="0.25">
      <c r="B79" s="15"/>
      <c r="C79" s="10" t="s">
        <v>14</v>
      </c>
      <c r="D79" s="12" t="s">
        <v>2</v>
      </c>
      <c r="E79" s="5" t="s">
        <v>0</v>
      </c>
      <c r="F79" s="16">
        <v>1</v>
      </c>
    </row>
    <row r="80" spans="2:6" ht="14.4" customHeight="1" x14ac:dyDescent="0.25">
      <c r="B80" s="15"/>
      <c r="C80" s="10" t="s">
        <v>15</v>
      </c>
      <c r="D80" s="12" t="s">
        <v>70</v>
      </c>
      <c r="E80" s="5" t="s">
        <v>0</v>
      </c>
      <c r="F80" s="16">
        <v>1</v>
      </c>
    </row>
    <row r="81" spans="2:6" ht="14.4" customHeight="1" thickBot="1" x14ac:dyDescent="0.3">
      <c r="B81" s="17"/>
      <c r="C81" s="18" t="s">
        <v>16</v>
      </c>
      <c r="D81" s="19" t="s">
        <v>1</v>
      </c>
      <c r="E81" s="20" t="s">
        <v>0</v>
      </c>
      <c r="F81" s="21">
        <v>1</v>
      </c>
    </row>
    <row r="82" spans="2:6" s="2" customFormat="1" ht="13.8" thickTop="1" x14ac:dyDescent="0.25">
      <c r="B82" s="4"/>
      <c r="C82" s="4"/>
      <c r="D82" s="3"/>
      <c r="E82" s="3"/>
      <c r="F82" s="3"/>
    </row>
    <row r="83" spans="2:6" s="2" customFormat="1" x14ac:dyDescent="0.25">
      <c r="B83" s="4"/>
      <c r="C83" s="4"/>
      <c r="D83" s="3"/>
      <c r="E83" s="3"/>
      <c r="F83" s="3"/>
    </row>
  </sheetData>
  <sheetProtection selectLockedCells="1" selectUnlockedCells="1"/>
  <phoneticPr fontId="5" type="noConversion"/>
  <printOptions horizontalCentered="1" verticalCentered="1"/>
  <pageMargins left="0" right="0" top="0" bottom="0" header="0.51181102362204722" footer="0.51181102362204722"/>
  <pageSetup paperSize="9" scale="70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EB3A-5DD1-4FBE-A865-785B28579AD1}">
  <dimension ref="A1:GN67"/>
  <sheetViews>
    <sheetView showZeros="0" tabSelected="1" workbookViewId="0">
      <selection activeCell="C59" sqref="C59"/>
    </sheetView>
  </sheetViews>
  <sheetFormatPr baseColWidth="10" defaultColWidth="11.5546875" defaultRowHeight="13.2" x14ac:dyDescent="0.25"/>
  <cols>
    <col min="1" max="2" width="7.21875" style="11" customWidth="1"/>
    <col min="3" max="3" width="49.44140625" style="2" customWidth="1"/>
    <col min="4" max="4" width="5.6640625" style="2" customWidth="1"/>
    <col min="5" max="5" width="9.77734375" style="2" customWidth="1"/>
    <col min="6" max="194" width="8.77734375" style="2" customWidth="1"/>
    <col min="195" max="16384" width="11.5546875" style="1"/>
  </cols>
  <sheetData>
    <row r="1" spans="1:195" s="2" customFormat="1" ht="27.6" customHeight="1" thickTop="1" thickBot="1" x14ac:dyDescent="0.3">
      <c r="A1" s="22" t="s">
        <v>13</v>
      </c>
      <c r="B1" s="23" t="s">
        <v>12</v>
      </c>
      <c r="C1" s="24" t="s">
        <v>11</v>
      </c>
      <c r="D1" s="24" t="s">
        <v>10</v>
      </c>
      <c r="E1" s="25" t="s">
        <v>9</v>
      </c>
      <c r="GM1" s="1"/>
    </row>
    <row r="2" spans="1:195" s="2" customFormat="1" ht="14.4" customHeight="1" x14ac:dyDescent="0.25">
      <c r="A2" s="13" t="s">
        <v>14</v>
      </c>
      <c r="B2" s="9"/>
      <c r="C2" s="8" t="s">
        <v>8</v>
      </c>
      <c r="D2" s="5"/>
      <c r="E2" s="14"/>
      <c r="GM2" s="1"/>
    </row>
    <row r="3" spans="1:195" s="2" customFormat="1" ht="14.4" customHeight="1" x14ac:dyDescent="0.25">
      <c r="A3" s="15"/>
      <c r="B3" s="10" t="s">
        <v>14</v>
      </c>
      <c r="C3" s="12" t="s">
        <v>62</v>
      </c>
      <c r="D3" s="5" t="s">
        <v>49</v>
      </c>
      <c r="E3" s="14">
        <v>2</v>
      </c>
      <c r="GM3" s="1"/>
    </row>
    <row r="4" spans="1:195" s="2" customFormat="1" ht="14.4" customHeight="1" x14ac:dyDescent="0.25">
      <c r="A4" s="15"/>
      <c r="B4" s="10" t="s">
        <v>15</v>
      </c>
      <c r="C4" s="12" t="s">
        <v>93</v>
      </c>
      <c r="D4" s="5" t="s">
        <v>6</v>
      </c>
      <c r="E4" s="14">
        <v>1.2</v>
      </c>
      <c r="GM4" s="1"/>
    </row>
    <row r="5" spans="1:195" s="2" customFormat="1" ht="14.4" customHeight="1" x14ac:dyDescent="0.25">
      <c r="A5" s="15"/>
      <c r="B5" s="10" t="s">
        <v>16</v>
      </c>
      <c r="C5" s="12" t="s">
        <v>94</v>
      </c>
      <c r="D5" s="5" t="s">
        <v>49</v>
      </c>
      <c r="E5" s="14">
        <v>2</v>
      </c>
      <c r="GM5" s="1"/>
    </row>
    <row r="6" spans="1:195" s="2" customFormat="1" ht="14.4" customHeight="1" x14ac:dyDescent="0.25">
      <c r="A6" s="15"/>
      <c r="B6" s="10" t="s">
        <v>17</v>
      </c>
      <c r="C6" s="12" t="s">
        <v>66</v>
      </c>
      <c r="D6" s="5" t="s">
        <v>54</v>
      </c>
      <c r="E6" s="14">
        <v>3.1</v>
      </c>
      <c r="GM6" s="1"/>
    </row>
    <row r="7" spans="1:195" s="2" customFormat="1" ht="14.4" customHeight="1" x14ac:dyDescent="0.25">
      <c r="A7" s="15"/>
      <c r="B7" s="10" t="s">
        <v>18</v>
      </c>
      <c r="C7" s="12" t="s">
        <v>65</v>
      </c>
      <c r="D7" s="5" t="s">
        <v>0</v>
      </c>
      <c r="E7" s="14">
        <v>1</v>
      </c>
      <c r="GM7" s="1"/>
    </row>
    <row r="8" spans="1:195" s="2" customFormat="1" ht="14.4" customHeight="1" x14ac:dyDescent="0.25">
      <c r="A8" s="15"/>
      <c r="B8" s="10" t="s">
        <v>19</v>
      </c>
      <c r="C8" s="12" t="s">
        <v>67</v>
      </c>
      <c r="D8" s="5" t="s">
        <v>0</v>
      </c>
      <c r="E8" s="14">
        <v>1</v>
      </c>
      <c r="GM8" s="1"/>
    </row>
    <row r="9" spans="1:195" s="2" customFormat="1" ht="14.4" customHeight="1" x14ac:dyDescent="0.25">
      <c r="A9" s="15"/>
      <c r="B9" s="10" t="s">
        <v>20</v>
      </c>
      <c r="C9" s="12" t="s">
        <v>69</v>
      </c>
      <c r="D9" s="5" t="s">
        <v>6</v>
      </c>
      <c r="E9" s="14">
        <f>(1.8+3.3+1.4)*0.3*0.4</f>
        <v>0.78</v>
      </c>
      <c r="GM9" s="1"/>
    </row>
    <row r="10" spans="1:195" s="2" customFormat="1" ht="14.4" customHeight="1" x14ac:dyDescent="0.25">
      <c r="A10" s="13" t="s">
        <v>15</v>
      </c>
      <c r="B10" s="9"/>
      <c r="C10" s="7" t="s">
        <v>7</v>
      </c>
      <c r="D10" s="5"/>
      <c r="E10" s="14"/>
      <c r="GM10" s="1"/>
    </row>
    <row r="11" spans="1:195" s="2" customFormat="1" ht="14.4" customHeight="1" x14ac:dyDescent="0.25">
      <c r="A11" s="15"/>
      <c r="B11" s="10" t="s">
        <v>14</v>
      </c>
      <c r="C11" s="12" t="s">
        <v>24</v>
      </c>
      <c r="D11" s="5" t="s">
        <v>6</v>
      </c>
      <c r="E11" s="16">
        <f>4*0.8*0.8*1</f>
        <v>2.5600000000000005</v>
      </c>
      <c r="GM11" s="1"/>
    </row>
    <row r="12" spans="1:195" s="2" customFormat="1" ht="14.4" customHeight="1" x14ac:dyDescent="0.25">
      <c r="A12" s="15"/>
      <c r="B12" s="10" t="s">
        <v>15</v>
      </c>
      <c r="C12" s="12" t="s">
        <v>23</v>
      </c>
      <c r="D12" s="5" t="s">
        <v>4</v>
      </c>
      <c r="E12" s="16">
        <f>2.3*3.1</f>
        <v>7.13</v>
      </c>
      <c r="GM12" s="1"/>
    </row>
    <row r="13" spans="1:195" s="2" customFormat="1" ht="14.4" customHeight="1" x14ac:dyDescent="0.25">
      <c r="A13" s="15"/>
      <c r="B13" s="10" t="s">
        <v>16</v>
      </c>
      <c r="C13" s="12" t="s">
        <v>61</v>
      </c>
      <c r="D13" s="5" t="s">
        <v>6</v>
      </c>
      <c r="E13" s="16">
        <f>+(1.8+2.3+3.3)*0.2*0.3</f>
        <v>0.44400000000000001</v>
      </c>
      <c r="GM13" s="1"/>
    </row>
    <row r="14" spans="1:195" s="2" customFormat="1" ht="14.4" customHeight="1" x14ac:dyDescent="0.25">
      <c r="A14" s="13" t="s">
        <v>16</v>
      </c>
      <c r="B14" s="9"/>
      <c r="C14" s="7" t="s">
        <v>5</v>
      </c>
      <c r="D14" s="5"/>
      <c r="E14" s="14"/>
      <c r="GM14" s="1"/>
    </row>
    <row r="15" spans="1:195" s="2" customFormat="1" ht="14.4" customHeight="1" x14ac:dyDescent="0.25">
      <c r="A15" s="15"/>
      <c r="B15" s="10" t="s">
        <v>14</v>
      </c>
      <c r="C15" s="12" t="s">
        <v>80</v>
      </c>
      <c r="D15" s="5" t="s">
        <v>4</v>
      </c>
      <c r="E15" s="16">
        <f>2.3*3.1</f>
        <v>7.13</v>
      </c>
      <c r="GM15" s="1"/>
    </row>
    <row r="16" spans="1:195" s="2" customFormat="1" ht="14.4" customHeight="1" x14ac:dyDescent="0.25">
      <c r="A16" s="15"/>
      <c r="B16" s="10" t="s">
        <v>15</v>
      </c>
      <c r="C16" s="12" t="s">
        <v>25</v>
      </c>
      <c r="D16" s="5" t="s">
        <v>4</v>
      </c>
      <c r="E16" s="16">
        <f>+E15</f>
        <v>7.13</v>
      </c>
      <c r="GM16" s="1"/>
    </row>
    <row r="17" spans="1:195" s="2" customFormat="1" ht="14.4" customHeight="1" x14ac:dyDescent="0.25">
      <c r="A17" s="15"/>
      <c r="B17" s="10" t="s">
        <v>16</v>
      </c>
      <c r="C17" s="12" t="s">
        <v>26</v>
      </c>
      <c r="D17" s="5" t="s">
        <v>4</v>
      </c>
      <c r="E17" s="16">
        <f>+E16</f>
        <v>7.13</v>
      </c>
      <c r="GM17" s="1"/>
    </row>
    <row r="18" spans="1:195" s="2" customFormat="1" ht="14.4" customHeight="1" x14ac:dyDescent="0.25">
      <c r="A18" s="15"/>
      <c r="B18" s="10" t="s">
        <v>17</v>
      </c>
      <c r="C18" s="12" t="s">
        <v>99</v>
      </c>
      <c r="D18" s="5" t="s">
        <v>4</v>
      </c>
      <c r="E18" s="16">
        <f>2.3*3.1</f>
        <v>7.13</v>
      </c>
      <c r="GM18" s="1"/>
    </row>
    <row r="19" spans="1:195" s="2" customFormat="1" ht="14.4" customHeight="1" x14ac:dyDescent="0.25">
      <c r="A19" s="15"/>
      <c r="B19" s="10" t="s">
        <v>18</v>
      </c>
      <c r="C19" s="12" t="s">
        <v>100</v>
      </c>
      <c r="D19" s="5" t="s">
        <v>4</v>
      </c>
      <c r="E19" s="16">
        <f>+(1.8+2.3+1.4)*1.2</f>
        <v>6.6</v>
      </c>
      <c r="GM19" s="1"/>
    </row>
    <row r="20" spans="1:195" s="2" customFormat="1" ht="14.4" customHeight="1" x14ac:dyDescent="0.25">
      <c r="A20" s="15"/>
      <c r="B20" s="10" t="s">
        <v>19</v>
      </c>
      <c r="C20" s="12" t="s">
        <v>97</v>
      </c>
      <c r="D20" s="5" t="s">
        <v>4</v>
      </c>
      <c r="E20" s="16">
        <f>(1.8+3.3+1.4)*4.3</f>
        <v>27.95</v>
      </c>
      <c r="GM20" s="1"/>
    </row>
    <row r="21" spans="1:195" s="2" customFormat="1" ht="14.4" customHeight="1" x14ac:dyDescent="0.25">
      <c r="A21" s="15"/>
      <c r="B21" s="10" t="s">
        <v>20</v>
      </c>
      <c r="C21" s="12" t="s">
        <v>98</v>
      </c>
      <c r="D21" s="5" t="s">
        <v>4</v>
      </c>
      <c r="E21" s="16">
        <f>+E20</f>
        <v>27.95</v>
      </c>
      <c r="GM21" s="1"/>
    </row>
    <row r="22" spans="1:195" s="2" customFormat="1" ht="14.4" customHeight="1" x14ac:dyDescent="0.25">
      <c r="A22" s="13" t="s">
        <v>17</v>
      </c>
      <c r="B22" s="9"/>
      <c r="C22" s="7" t="s">
        <v>95</v>
      </c>
      <c r="D22" s="5"/>
      <c r="E22" s="14"/>
      <c r="GM22" s="1"/>
    </row>
    <row r="23" spans="1:195" s="2" customFormat="1" ht="14.4" customHeight="1" x14ac:dyDescent="0.25">
      <c r="A23" s="15"/>
      <c r="B23" s="10" t="s">
        <v>87</v>
      </c>
      <c r="C23" s="6" t="s">
        <v>105</v>
      </c>
      <c r="D23" s="5"/>
      <c r="E23" s="16"/>
      <c r="GM23" s="1"/>
    </row>
    <row r="24" spans="1:195" s="2" customFormat="1" ht="14.4" customHeight="1" x14ac:dyDescent="0.25">
      <c r="A24" s="15"/>
      <c r="B24" s="10" t="s">
        <v>14</v>
      </c>
      <c r="C24" s="12" t="s">
        <v>36</v>
      </c>
      <c r="D24" s="5" t="s">
        <v>4</v>
      </c>
      <c r="E24" s="16">
        <f>+(1.8+2.3+3.3)*2.6</f>
        <v>19.239999999999998</v>
      </c>
      <c r="GM24" s="1"/>
    </row>
    <row r="25" spans="1:195" s="2" customFormat="1" ht="14.4" customHeight="1" x14ac:dyDescent="0.25">
      <c r="A25" s="15"/>
      <c r="B25" s="10" t="s">
        <v>15</v>
      </c>
      <c r="C25" s="12" t="s">
        <v>37</v>
      </c>
      <c r="D25" s="5" t="s">
        <v>4</v>
      </c>
      <c r="E25" s="16">
        <f>+E24</f>
        <v>19.239999999999998</v>
      </c>
      <c r="GM25" s="1"/>
    </row>
    <row r="26" spans="1:195" s="2" customFormat="1" ht="14.4" customHeight="1" x14ac:dyDescent="0.25">
      <c r="A26" s="15"/>
      <c r="B26" s="10" t="s">
        <v>88</v>
      </c>
      <c r="C26" s="6" t="s">
        <v>38</v>
      </c>
      <c r="D26" s="5"/>
      <c r="E26" s="16"/>
      <c r="GM26" s="1"/>
    </row>
    <row r="27" spans="1:195" s="2" customFormat="1" ht="14.4" customHeight="1" x14ac:dyDescent="0.25">
      <c r="A27" s="15"/>
      <c r="B27" s="10" t="s">
        <v>14</v>
      </c>
      <c r="C27" s="12" t="s">
        <v>39</v>
      </c>
      <c r="D27" s="5" t="s">
        <v>4</v>
      </c>
      <c r="E27" s="16">
        <f>2.1*3.1</f>
        <v>6.5100000000000007</v>
      </c>
      <c r="GM27" s="1"/>
    </row>
    <row r="28" spans="1:195" s="2" customFormat="1" ht="14.4" customHeight="1" x14ac:dyDescent="0.25">
      <c r="A28" s="15"/>
      <c r="B28" s="10" t="s">
        <v>15</v>
      </c>
      <c r="C28" s="12" t="s">
        <v>36</v>
      </c>
      <c r="D28" s="5" t="s">
        <v>4</v>
      </c>
      <c r="E28" s="16">
        <f t="shared" ref="E28" si="0">+E27</f>
        <v>6.5100000000000007</v>
      </c>
      <c r="GM28" s="1"/>
    </row>
    <row r="29" spans="1:195" s="2" customFormat="1" ht="14.4" customHeight="1" x14ac:dyDescent="0.25">
      <c r="A29" s="15"/>
      <c r="B29" s="10" t="s">
        <v>16</v>
      </c>
      <c r="C29" s="12" t="s">
        <v>37</v>
      </c>
      <c r="D29" s="5" t="s">
        <v>4</v>
      </c>
      <c r="E29" s="16">
        <f>+E28</f>
        <v>6.5100000000000007</v>
      </c>
      <c r="GM29" s="1"/>
    </row>
    <row r="30" spans="1:195" s="2" customFormat="1" ht="14.4" customHeight="1" x14ac:dyDescent="0.25">
      <c r="A30" s="13" t="s">
        <v>18</v>
      </c>
      <c r="B30" s="9"/>
      <c r="C30" s="7" t="s">
        <v>96</v>
      </c>
      <c r="D30" s="5"/>
      <c r="E30" s="14"/>
      <c r="GM30" s="1"/>
    </row>
    <row r="31" spans="1:195" s="2" customFormat="1" ht="14.4" customHeight="1" x14ac:dyDescent="0.25">
      <c r="A31" s="15"/>
      <c r="B31" s="10" t="s">
        <v>14</v>
      </c>
      <c r="C31" s="12" t="s">
        <v>104</v>
      </c>
      <c r="D31" s="5" t="s">
        <v>54</v>
      </c>
      <c r="E31" s="16">
        <f>6*2.3</f>
        <v>13.799999999999999</v>
      </c>
      <c r="GM31" s="1"/>
    </row>
    <row r="32" spans="1:195" s="2" customFormat="1" ht="14.4" customHeight="1" x14ac:dyDescent="0.25">
      <c r="A32" s="15"/>
      <c r="B32" s="10" t="s">
        <v>15</v>
      </c>
      <c r="C32" s="12" t="s">
        <v>27</v>
      </c>
      <c r="D32" s="5" t="s">
        <v>4</v>
      </c>
      <c r="E32" s="16">
        <v>7</v>
      </c>
      <c r="GM32" s="1"/>
    </row>
    <row r="33" spans="1:195" s="2" customFormat="1" ht="14.4" customHeight="1" x14ac:dyDescent="0.25">
      <c r="A33" s="15"/>
      <c r="B33" s="10" t="s">
        <v>16</v>
      </c>
      <c r="C33" s="12" t="s">
        <v>28</v>
      </c>
      <c r="D33" s="5" t="s">
        <v>4</v>
      </c>
      <c r="E33" s="16">
        <f>+E32</f>
        <v>7</v>
      </c>
      <c r="GM33" s="1"/>
    </row>
    <row r="34" spans="1:195" s="2" customFormat="1" ht="14.4" customHeight="1" x14ac:dyDescent="0.25">
      <c r="A34" s="15"/>
      <c r="B34" s="10" t="s">
        <v>17</v>
      </c>
      <c r="C34" s="12" t="s">
        <v>36</v>
      </c>
      <c r="D34" s="5" t="s">
        <v>4</v>
      </c>
      <c r="E34" s="16">
        <f>+E32</f>
        <v>7</v>
      </c>
      <c r="GM34" s="1"/>
    </row>
    <row r="35" spans="1:195" s="2" customFormat="1" ht="14.4" customHeight="1" x14ac:dyDescent="0.25">
      <c r="A35" s="15"/>
      <c r="B35" s="10" t="s">
        <v>18</v>
      </c>
      <c r="C35" s="12" t="s">
        <v>77</v>
      </c>
      <c r="D35" s="5" t="s">
        <v>4</v>
      </c>
      <c r="E35" s="16">
        <f>+E34</f>
        <v>7</v>
      </c>
      <c r="GM35" s="1"/>
    </row>
    <row r="36" spans="1:195" s="2" customFormat="1" ht="14.4" customHeight="1" x14ac:dyDescent="0.25">
      <c r="A36" s="13" t="s">
        <v>19</v>
      </c>
      <c r="B36" s="9"/>
      <c r="C36" s="7" t="s">
        <v>42</v>
      </c>
      <c r="D36" s="5"/>
      <c r="E36" s="14"/>
      <c r="GM36" s="1"/>
    </row>
    <row r="37" spans="1:195" s="2" customFormat="1" ht="14.4" customHeight="1" x14ac:dyDescent="0.25">
      <c r="A37" s="15"/>
      <c r="B37" s="10" t="s">
        <v>14</v>
      </c>
      <c r="C37" s="12" t="s">
        <v>43</v>
      </c>
      <c r="D37" s="5" t="s">
        <v>0</v>
      </c>
      <c r="E37" s="16">
        <v>1</v>
      </c>
      <c r="GM37" s="1"/>
    </row>
    <row r="38" spans="1:195" s="2" customFormat="1" ht="14.4" customHeight="1" x14ac:dyDescent="0.25">
      <c r="A38" s="15"/>
      <c r="B38" s="10" t="s">
        <v>15</v>
      </c>
      <c r="C38" s="12" t="s">
        <v>82</v>
      </c>
      <c r="D38" s="5" t="s">
        <v>0</v>
      </c>
      <c r="E38" s="16">
        <v>1</v>
      </c>
      <c r="GM38" s="1"/>
    </row>
    <row r="39" spans="1:195" s="2" customFormat="1" ht="14.4" customHeight="1" x14ac:dyDescent="0.25">
      <c r="A39" s="15"/>
      <c r="B39" s="10" t="s">
        <v>16</v>
      </c>
      <c r="C39" s="12" t="s">
        <v>44</v>
      </c>
      <c r="D39" s="5" t="s">
        <v>0</v>
      </c>
      <c r="E39" s="16">
        <v>1</v>
      </c>
      <c r="GM39" s="1"/>
    </row>
    <row r="40" spans="1:195" s="2" customFormat="1" ht="14.4" customHeight="1" x14ac:dyDescent="0.25">
      <c r="A40" s="13" t="s">
        <v>20</v>
      </c>
      <c r="B40" s="9"/>
      <c r="C40" s="7" t="s">
        <v>83</v>
      </c>
      <c r="D40" s="5"/>
      <c r="E40" s="14"/>
      <c r="GM40" s="1"/>
    </row>
    <row r="41" spans="1:195" s="2" customFormat="1" ht="14.4" customHeight="1" x14ac:dyDescent="0.25">
      <c r="A41" s="15"/>
      <c r="B41" s="10" t="s">
        <v>14</v>
      </c>
      <c r="C41" s="12" t="s">
        <v>101</v>
      </c>
      <c r="D41" s="5" t="s">
        <v>49</v>
      </c>
      <c r="E41" s="16">
        <v>1</v>
      </c>
      <c r="GM41" s="1"/>
    </row>
    <row r="42" spans="1:195" s="2" customFormat="1" ht="14.4" customHeight="1" x14ac:dyDescent="0.25">
      <c r="A42" s="15"/>
      <c r="B42" s="10" t="s">
        <v>15</v>
      </c>
      <c r="C42" s="12" t="s">
        <v>102</v>
      </c>
      <c r="D42" s="5" t="s">
        <v>49</v>
      </c>
      <c r="E42" s="16">
        <v>1</v>
      </c>
      <c r="GM42" s="1"/>
    </row>
    <row r="43" spans="1:195" s="2" customFormat="1" ht="14.4" customHeight="1" x14ac:dyDescent="0.25">
      <c r="A43" s="15"/>
      <c r="B43" s="10" t="s">
        <v>16</v>
      </c>
      <c r="C43" s="12" t="s">
        <v>103</v>
      </c>
      <c r="D43" s="5" t="s">
        <v>49</v>
      </c>
      <c r="E43" s="16">
        <v>1</v>
      </c>
      <c r="GM43" s="1"/>
    </row>
    <row r="44" spans="1:195" s="2" customFormat="1" ht="14.4" customHeight="1" x14ac:dyDescent="0.25">
      <c r="A44" s="13" t="s">
        <v>21</v>
      </c>
      <c r="B44" s="9"/>
      <c r="C44" s="7" t="s">
        <v>46</v>
      </c>
      <c r="D44" s="5"/>
      <c r="E44" s="14"/>
      <c r="GM44" s="1"/>
    </row>
    <row r="45" spans="1:195" s="2" customFormat="1" ht="14.4" customHeight="1" x14ac:dyDescent="0.25">
      <c r="A45" s="15"/>
      <c r="B45" s="10" t="s">
        <v>14</v>
      </c>
      <c r="C45" s="12" t="s">
        <v>47</v>
      </c>
      <c r="D45" s="5" t="s">
        <v>49</v>
      </c>
      <c r="E45" s="16">
        <v>1</v>
      </c>
      <c r="GM45" s="1"/>
    </row>
    <row r="46" spans="1:195" s="2" customFormat="1" ht="14.4" customHeight="1" x14ac:dyDescent="0.25">
      <c r="A46" s="15"/>
      <c r="B46" s="10" t="s">
        <v>15</v>
      </c>
      <c r="C46" s="12" t="s">
        <v>48</v>
      </c>
      <c r="D46" s="5" t="s">
        <v>49</v>
      </c>
      <c r="E46" s="16">
        <v>3</v>
      </c>
      <c r="GM46" s="1"/>
    </row>
    <row r="47" spans="1:195" s="2" customFormat="1" ht="14.4" customHeight="1" x14ac:dyDescent="0.25">
      <c r="A47" s="15"/>
      <c r="B47" s="10" t="s">
        <v>16</v>
      </c>
      <c r="C47" s="12" t="s">
        <v>50</v>
      </c>
      <c r="D47" s="5" t="s">
        <v>49</v>
      </c>
      <c r="E47" s="16">
        <v>1</v>
      </c>
      <c r="GM47" s="1"/>
    </row>
    <row r="48" spans="1:195" s="2" customFormat="1" ht="14.4" customHeight="1" x14ac:dyDescent="0.25">
      <c r="A48" s="15"/>
      <c r="B48" s="10" t="s">
        <v>17</v>
      </c>
      <c r="C48" s="12" t="s">
        <v>51</v>
      </c>
      <c r="D48" s="5" t="s">
        <v>49</v>
      </c>
      <c r="E48" s="16">
        <v>1</v>
      </c>
      <c r="GM48" s="1"/>
    </row>
    <row r="49" spans="1:196" s="2" customFormat="1" ht="14.4" customHeight="1" x14ac:dyDescent="0.25">
      <c r="A49" s="15"/>
      <c r="B49" s="10" t="s">
        <v>18</v>
      </c>
      <c r="C49" s="12" t="s">
        <v>52</v>
      </c>
      <c r="D49" s="5" t="s">
        <v>49</v>
      </c>
      <c r="E49" s="16">
        <v>1</v>
      </c>
      <c r="GM49" s="1"/>
    </row>
    <row r="50" spans="1:196" s="2" customFormat="1" ht="14.4" customHeight="1" x14ac:dyDescent="0.25">
      <c r="A50" s="13" t="s">
        <v>22</v>
      </c>
      <c r="B50" s="9"/>
      <c r="C50" s="7" t="s">
        <v>57</v>
      </c>
      <c r="D50" s="5"/>
      <c r="E50" s="14"/>
      <c r="GM50" s="1"/>
    </row>
    <row r="51" spans="1:196" s="2" customFormat="1" ht="14.4" customHeight="1" x14ac:dyDescent="0.25">
      <c r="A51" s="15"/>
      <c r="B51" s="10" t="s">
        <v>14</v>
      </c>
      <c r="C51" s="12" t="s">
        <v>53</v>
      </c>
      <c r="D51" s="5" t="s">
        <v>54</v>
      </c>
      <c r="E51" s="16">
        <v>2.2999999999999998</v>
      </c>
      <c r="GM51" s="1"/>
    </row>
    <row r="52" spans="1:196" s="2" customFormat="1" ht="14.4" customHeight="1" x14ac:dyDescent="0.25">
      <c r="A52" s="15"/>
      <c r="B52" s="10" t="s">
        <v>15</v>
      </c>
      <c r="C52" s="12" t="s">
        <v>55</v>
      </c>
      <c r="D52" s="5" t="s">
        <v>54</v>
      </c>
      <c r="E52" s="16">
        <v>3</v>
      </c>
      <c r="GM52" s="1"/>
    </row>
    <row r="53" spans="1:196" s="2" customFormat="1" ht="14.4" customHeight="1" x14ac:dyDescent="0.25">
      <c r="A53" s="15"/>
      <c r="B53" s="10" t="s">
        <v>16</v>
      </c>
      <c r="C53" s="12" t="s">
        <v>56</v>
      </c>
      <c r="D53" s="5" t="s">
        <v>54</v>
      </c>
      <c r="E53" s="16">
        <v>2</v>
      </c>
      <c r="GM53" s="1"/>
    </row>
    <row r="54" spans="1:196" s="2" customFormat="1" ht="14.4" customHeight="1" x14ac:dyDescent="0.25">
      <c r="A54" s="15"/>
      <c r="B54" s="10" t="s">
        <v>17</v>
      </c>
      <c r="C54" s="12" t="s">
        <v>58</v>
      </c>
      <c r="D54" s="5" t="s">
        <v>54</v>
      </c>
      <c r="E54" s="16">
        <f>2*5.4</f>
        <v>10.8</v>
      </c>
      <c r="GM54" s="1"/>
    </row>
    <row r="55" spans="1:196" s="2" customFormat="1" ht="14.4" customHeight="1" x14ac:dyDescent="0.25">
      <c r="A55" s="13" t="s">
        <v>79</v>
      </c>
      <c r="B55" s="9"/>
      <c r="C55" s="7" t="s">
        <v>59</v>
      </c>
      <c r="D55" s="5"/>
      <c r="E55" s="16"/>
      <c r="GM55" s="1"/>
    </row>
    <row r="56" spans="1:196" s="2" customFormat="1" ht="14.4" customHeight="1" x14ac:dyDescent="0.25">
      <c r="A56" s="15"/>
      <c r="B56" s="10" t="s">
        <v>14</v>
      </c>
      <c r="C56" s="12" t="s">
        <v>60</v>
      </c>
      <c r="D56" s="5" t="s">
        <v>54</v>
      </c>
      <c r="E56" s="16">
        <f>(1.8+3.3+1.4)</f>
        <v>6.5</v>
      </c>
      <c r="GM56" s="1"/>
    </row>
    <row r="57" spans="1:196" s="2" customFormat="1" ht="14.4" customHeight="1" x14ac:dyDescent="0.25">
      <c r="A57" s="15"/>
      <c r="B57" s="10" t="s">
        <v>15</v>
      </c>
      <c r="C57" s="12" t="s">
        <v>72</v>
      </c>
      <c r="D57" s="5" t="s">
        <v>54</v>
      </c>
      <c r="E57" s="16">
        <v>5.2</v>
      </c>
      <c r="GM57" s="1"/>
    </row>
    <row r="58" spans="1:196" ht="14.4" customHeight="1" x14ac:dyDescent="0.25">
      <c r="A58" s="15"/>
      <c r="B58" s="10" t="s">
        <v>16</v>
      </c>
      <c r="C58" s="12" t="s">
        <v>74</v>
      </c>
      <c r="D58" s="5" t="s">
        <v>54</v>
      </c>
      <c r="E58" s="16">
        <f t="shared" ref="E58" si="1">1.8+3.1+2.3</f>
        <v>7.2</v>
      </c>
      <c r="GM58" s="2"/>
      <c r="GN58" s="2"/>
    </row>
    <row r="59" spans="1:196" ht="14.4" customHeight="1" x14ac:dyDescent="0.25">
      <c r="A59" s="13" t="s">
        <v>81</v>
      </c>
      <c r="B59" s="9"/>
      <c r="C59" s="7" t="s">
        <v>90</v>
      </c>
      <c r="D59" s="5"/>
      <c r="E59" s="16"/>
      <c r="GM59" s="2"/>
      <c r="GN59" s="2"/>
    </row>
    <row r="60" spans="1:196" ht="14.4" customHeight="1" x14ac:dyDescent="0.25">
      <c r="A60" s="15"/>
      <c r="B60" s="10" t="s">
        <v>14</v>
      </c>
      <c r="C60" s="12" t="s">
        <v>91</v>
      </c>
      <c r="D60" s="5" t="s">
        <v>54</v>
      </c>
      <c r="E60" s="16">
        <f>+(2.3*3.1)*2.6+7</f>
        <v>25.538</v>
      </c>
      <c r="GM60" s="2"/>
      <c r="GN60" s="2"/>
    </row>
    <row r="61" spans="1:196" s="2" customFormat="1" ht="14.4" customHeight="1" x14ac:dyDescent="0.25">
      <c r="A61" s="15"/>
      <c r="B61" s="10" t="s">
        <v>15</v>
      </c>
      <c r="C61" s="12" t="s">
        <v>92</v>
      </c>
      <c r="D61" s="5" t="s">
        <v>54</v>
      </c>
      <c r="E61" s="16">
        <f>(1.8+3.3+1.4)*4.8</f>
        <v>31.2</v>
      </c>
      <c r="GM61" s="1"/>
    </row>
    <row r="62" spans="1:196" s="2" customFormat="1" ht="14.4" customHeight="1" x14ac:dyDescent="0.25">
      <c r="A62" s="13" t="s">
        <v>81</v>
      </c>
      <c r="B62" s="9"/>
      <c r="C62" s="7" t="s">
        <v>3</v>
      </c>
      <c r="D62" s="5"/>
      <c r="E62" s="16"/>
      <c r="GM62" s="1"/>
    </row>
    <row r="63" spans="1:196" s="2" customFormat="1" ht="14.4" customHeight="1" x14ac:dyDescent="0.25">
      <c r="A63" s="15"/>
      <c r="B63" s="10" t="s">
        <v>14</v>
      </c>
      <c r="C63" s="12" t="s">
        <v>2</v>
      </c>
      <c r="D63" s="5" t="s">
        <v>0</v>
      </c>
      <c r="E63" s="16">
        <v>1</v>
      </c>
      <c r="GM63" s="1"/>
    </row>
    <row r="64" spans="1:196" s="2" customFormat="1" ht="14.4" customHeight="1" x14ac:dyDescent="0.25">
      <c r="A64" s="15"/>
      <c r="B64" s="10" t="s">
        <v>15</v>
      </c>
      <c r="C64" s="12" t="s">
        <v>70</v>
      </c>
      <c r="D64" s="5" t="s">
        <v>0</v>
      </c>
      <c r="E64" s="16">
        <v>1</v>
      </c>
      <c r="GM64" s="1"/>
    </row>
    <row r="65" spans="1:5" s="2" customFormat="1" ht="13.8" thickBot="1" x14ac:dyDescent="0.3">
      <c r="A65" s="17"/>
      <c r="B65" s="18" t="s">
        <v>16</v>
      </c>
      <c r="C65" s="19" t="s">
        <v>1</v>
      </c>
      <c r="D65" s="20" t="s">
        <v>0</v>
      </c>
      <c r="E65" s="21">
        <v>1</v>
      </c>
    </row>
    <row r="66" spans="1:5" s="2" customFormat="1" ht="13.8" thickTop="1" x14ac:dyDescent="0.25">
      <c r="A66" s="4"/>
      <c r="B66" s="4"/>
      <c r="C66" s="3"/>
      <c r="D66" s="3"/>
      <c r="E66" s="3"/>
    </row>
    <row r="67" spans="1:5" x14ac:dyDescent="0.25">
      <c r="A67" s="4"/>
      <c r="B67" s="4"/>
      <c r="C67" s="3"/>
      <c r="D67" s="3"/>
      <c r="E67" s="3"/>
    </row>
  </sheetData>
  <sheetProtection selectLockedCells="1" selectUnlockedCells="1"/>
  <phoneticPr fontId="5" type="noConversion"/>
  <printOptions horizontalCentered="1"/>
  <pageMargins left="0.2" right="0.15972222222222221" top="0.67986111111111114" bottom="0.27986111111111112" header="0.51180555555555551" footer="0.51180555555555551"/>
  <pageSetup paperSize="9" scale="106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14</vt:i4>
      </vt:variant>
    </vt:vector>
  </HeadingPairs>
  <TitlesOfParts>
    <vt:vector size="16" baseType="lpstr">
      <vt:lpstr>Steel Frame</vt:lpstr>
      <vt:lpstr>Mampostería</vt:lpstr>
      <vt:lpstr>Mampostería!___xlnm.Print_Area</vt:lpstr>
      <vt:lpstr>'Steel Frame'!___xlnm.Print_Area</vt:lpstr>
      <vt:lpstr>Mampostería!___xlnm.Print_Titles</vt:lpstr>
      <vt:lpstr>'Steel Frame'!___xlnm.Print_Titles</vt:lpstr>
      <vt:lpstr>Mampostería!__xlnm.Print_Area</vt:lpstr>
      <vt:lpstr>'Steel Frame'!__xlnm.Print_Area</vt:lpstr>
      <vt:lpstr>Mampostería!__xlnm.Print_Titles</vt:lpstr>
      <vt:lpstr>'Steel Frame'!__xlnm.Print_Titles</vt:lpstr>
      <vt:lpstr>Mampostería!Área_de_impresión</vt:lpstr>
      <vt:lpstr>'Steel Frame'!Área_de_impresión</vt:lpstr>
      <vt:lpstr>Mampostería!Excel_BuiltIn_Print_Area</vt:lpstr>
      <vt:lpstr>'Steel Frame'!Excel_BuiltIn_Print_Area</vt:lpstr>
      <vt:lpstr>Mampostería!Títulos_a_imprimir</vt:lpstr>
      <vt:lpstr>'Steel Frame'!Títulos_a_imprimir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cp:lastPrinted>2026-07-28T13:46:39Z</cp:lastPrinted>
  <dcterms:created xsi:type="dcterms:W3CDTF">2026-05-06T18:20:32Z</dcterms:created>
  <dcterms:modified xsi:type="dcterms:W3CDTF">2026-08-04T20:31:53Z</dcterms:modified>
</cp:coreProperties>
</file>