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opbox\Analisis_de_costos_y_Presupuestacion\Presupuestos\Obras\Obra004\data\"/>
    </mc:Choice>
  </mc:AlternateContent>
  <xr:revisionPtr revIDLastSave="0" documentId="8_{C4C1EC0B-766E-46A4-B717-32542A1C9370}" xr6:coauthVersionLast="47" xr6:coauthVersionMax="47" xr10:uidLastSave="{00000000-0000-0000-0000-000000000000}"/>
  <bookViews>
    <workbookView xWindow="-108" yWindow="-108" windowWidth="23256" windowHeight="12456" xr2:uid="{7A1D0FAF-27D3-40EB-AC48-07FA09B693BC}"/>
  </bookViews>
  <sheets>
    <sheet name="Mampostería" sheetId="1" r:id="rId1"/>
  </sheets>
  <definedNames>
    <definedName name="___xlnm.Print_Area" localSheetId="0">Mampostería!$A$2:$E$65</definedName>
    <definedName name="___xlnm.Print_Titles" localSheetId="0">Mampostería!$1:$1</definedName>
    <definedName name="__xlnm.Print_Area" localSheetId="0">Mampostería!$A$3:$E$65</definedName>
    <definedName name="__xlnm.Print_Titles" localSheetId="0">Mampostería!$A$1:$E$1</definedName>
    <definedName name="_xlnm.Print_Area" localSheetId="0">Mampostería!$A$2:$E$65</definedName>
    <definedName name="Dns_1833_4_Presupuesto_List">"#REF!"</definedName>
    <definedName name="Excel_BuiltIn_Print_Area" localSheetId="0">Mampostería!$A$1:$E$65</definedName>
    <definedName name="_xlnm.Print_Titles" localSheetId="0">Mampostería!$1:$1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1" i="1" l="1"/>
  <c r="E60" i="1"/>
  <c r="E58" i="1"/>
  <c r="E56" i="1"/>
  <c r="E54" i="1"/>
  <c r="E34" i="1"/>
  <c r="E35" i="1" s="1"/>
  <c r="E33" i="1"/>
  <c r="E31" i="1"/>
  <c r="E27" i="1"/>
  <c r="E28" i="1" s="1"/>
  <c r="E29" i="1" s="1"/>
  <c r="E24" i="1"/>
  <c r="E25" i="1" s="1"/>
  <c r="E20" i="1"/>
  <c r="E21" i="1" s="1"/>
  <c r="E19" i="1"/>
  <c r="E18" i="1"/>
  <c r="E15" i="1"/>
  <c r="E16" i="1" s="1"/>
  <c r="E17" i="1" s="1"/>
  <c r="E13" i="1"/>
  <c r="E12" i="1"/>
  <c r="E11" i="1"/>
  <c r="E9" i="1"/>
</calcChain>
</file>

<file path=xl/sharedStrings.xml><?xml version="1.0" encoding="utf-8"?>
<sst xmlns="http://schemas.openxmlformats.org/spreadsheetml/2006/main" count="183" uniqueCount="84">
  <si>
    <t>RUBRO</t>
  </si>
  <si>
    <t>ITEM</t>
  </si>
  <si>
    <t>DESCRIPCION</t>
  </si>
  <si>
    <t>Un.</t>
  </si>
  <si>
    <t>Cantidad</t>
  </si>
  <si>
    <t>01</t>
  </si>
  <si>
    <t>Tareas Preliminares</t>
  </si>
  <si>
    <t>Cortar columnas caño 3"</t>
  </si>
  <si>
    <t>un</t>
  </si>
  <si>
    <t>02</t>
  </si>
  <si>
    <t>Excavación 2 pozos para  columnas y 4 pozos romanos</t>
  </si>
  <si>
    <t>m3</t>
  </si>
  <si>
    <t>03</t>
  </si>
  <si>
    <t>Colocación nuevas columnas caño 3" (3m c/u)</t>
  </si>
  <si>
    <t>04</t>
  </si>
  <si>
    <t>Caño estructural 4x8 nuevo apoyo</t>
  </si>
  <si>
    <t>ml</t>
  </si>
  <si>
    <t>05</t>
  </si>
  <si>
    <t>Corte de estructura y techo sobrante</t>
  </si>
  <si>
    <t>gl</t>
  </si>
  <si>
    <t>06</t>
  </si>
  <si>
    <t xml:space="preserve">Rehacer cierre en chapa rejilla </t>
  </si>
  <si>
    <t>07</t>
  </si>
  <si>
    <t>Excavación viga de encadenado 30cm</t>
  </si>
  <si>
    <t>Estructura de Hormigón armado</t>
  </si>
  <si>
    <t>Pilotes 0,80 de diametro.</t>
  </si>
  <si>
    <t xml:space="preserve">Platea de Hormigón armado esp.0,15m </t>
  </si>
  <si>
    <t>m2</t>
  </si>
  <si>
    <t>Vigas encadenado 20x30</t>
  </si>
  <si>
    <t>Albañilería</t>
  </si>
  <si>
    <t>Capa aisladora horizontal c/ceresita s/platea (3cm)</t>
  </si>
  <si>
    <t xml:space="preserve">Poliestireno expandido 1" </t>
  </si>
  <si>
    <t>Carpeta de cemento alisada (5cm)</t>
  </si>
  <si>
    <t>Mampostería de ladrillos comunes esp 0,30</t>
  </si>
  <si>
    <t>Capa aisladora doble en muros</t>
  </si>
  <si>
    <t>Revoque completo a la cal exterior</t>
  </si>
  <si>
    <t>Revoque salpicado impermeable interior</t>
  </si>
  <si>
    <t>Placas Durlock interior</t>
  </si>
  <si>
    <t>04-b</t>
  </si>
  <si>
    <t>Muro interior</t>
  </si>
  <si>
    <t>Lana de vidrio 2" con barrera de vapor</t>
  </si>
  <si>
    <t>Placa de yeso Durlock</t>
  </si>
  <si>
    <t>04-d</t>
  </si>
  <si>
    <t>Cielorraso</t>
  </si>
  <si>
    <t>Estructura independiente (soleras y montantes)</t>
  </si>
  <si>
    <t>Estructura  Cubierta</t>
  </si>
  <si>
    <t>Cabios de pino 2x4  transversales c/0,60</t>
  </si>
  <si>
    <t>Placa OSB exterior 19mm</t>
  </si>
  <si>
    <t>Fieltro impermeable exterior Tybek</t>
  </si>
  <si>
    <t>Chapa ondulada galvanizada N°27</t>
  </si>
  <si>
    <t>Demoliciones</t>
  </si>
  <si>
    <t>Mampostería 0,30 desde antepecho a carpeta</t>
  </si>
  <si>
    <t>Retiro de Ventana de PVC del frente</t>
  </si>
  <si>
    <t>Mampostería 0,30 ventiluz en baño</t>
  </si>
  <si>
    <t>Carpìnterìas</t>
  </si>
  <si>
    <t>Colocación puerta tablero (izq) de acceso exterior</t>
  </si>
  <si>
    <t>Colocación puerta placa (izq) de acceso dormitorio</t>
  </si>
  <si>
    <t>Colocación ventiluz doble vidrio, baño existente</t>
  </si>
  <si>
    <t>08</t>
  </si>
  <si>
    <t>Instalación Eléctrica</t>
  </si>
  <si>
    <t>Centro en cielorraso</t>
  </si>
  <si>
    <t>Tomacorrientes</t>
  </si>
  <si>
    <t>Boca de luz (brazo)</t>
  </si>
  <si>
    <t>Piso radiante eléctrico</t>
  </si>
  <si>
    <t>Refuerzo cableado desde farol ext. a tablero</t>
  </si>
  <si>
    <t>09</t>
  </si>
  <si>
    <t>Zinguería</t>
  </si>
  <si>
    <t>Canaleta horizontal techo inclinado</t>
  </si>
  <si>
    <t>Bajada caño cuadrado</t>
  </si>
  <si>
    <t>Codo 45° desvio bajada existente para empalmar c/nueva</t>
  </si>
  <si>
    <t>Babetas de cierre laterales y de frente</t>
  </si>
  <si>
    <t>10</t>
  </si>
  <si>
    <t>Molduras</t>
  </si>
  <si>
    <t>Molduras horizontales de 25cm de altura</t>
  </si>
  <si>
    <t>Molduras perimetrales ventana</t>
  </si>
  <si>
    <t>Buñas horizontales sobre zócalos</t>
  </si>
  <si>
    <t>11</t>
  </si>
  <si>
    <t>Pintura</t>
  </si>
  <si>
    <t>Pintura interior al Látex en muros y cielorrasos</t>
  </si>
  <si>
    <t xml:space="preserve">Pintura exterior cementicia tipo Lóxon </t>
  </si>
  <si>
    <t>Tareas generales</t>
  </si>
  <si>
    <t>Ayuda de gremios</t>
  </si>
  <si>
    <t>Retiro techo demolido y escombros demolición</t>
  </si>
  <si>
    <t>Limpieza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</si>
</sst>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10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/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medium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/>
      <protection locked="0"/>
    </xf>
    <xf numFmtId="49" fontId="2" fillId="2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1" fillId="0" borderId="0" xfId="1"/>
    <xf numFmtId="49" fontId="2" fillId="0" borderId="5" xfId="1" applyNumberFormat="1" applyFont="1" applyBorder="1" applyAlignment="1" applyProtection="1">
      <alignment horizontal="center" vertical="center"/>
      <protection locked="0"/>
    </xf>
    <xf numFmtId="49" fontId="2" fillId="0" borderId="6" xfId="1" applyNumberFormat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 applyProtection="1">
      <alignment horizontal="left" vertical="center"/>
      <protection locked="0"/>
    </xf>
    <xf numFmtId="0" fontId="3" fillId="0" borderId="7" xfId="1" applyFont="1" applyBorder="1" applyAlignment="1" applyProtection="1">
      <alignment horizontal="center" vertical="center"/>
      <protection locked="0"/>
    </xf>
    <xf numFmtId="164" fontId="3" fillId="0" borderId="8" xfId="1" applyNumberFormat="1" applyFont="1" applyBorder="1" applyAlignment="1" applyProtection="1">
      <alignment vertical="center"/>
      <protection locked="0"/>
    </xf>
    <xf numFmtId="49" fontId="3" fillId="0" borderId="5" xfId="1" applyNumberFormat="1" applyFont="1" applyBorder="1" applyAlignment="1" applyProtection="1">
      <alignment horizontal="center" vertical="center"/>
      <protection locked="0"/>
    </xf>
    <xf numFmtId="49" fontId="3" fillId="0" borderId="6" xfId="1" applyNumberFormat="1" applyFont="1" applyBorder="1" applyAlignment="1" applyProtection="1">
      <alignment horizontal="center" vertical="center"/>
      <protection locked="0"/>
    </xf>
    <xf numFmtId="0" fontId="3" fillId="0" borderId="7" xfId="1" applyFont="1" applyBorder="1" applyAlignment="1" applyProtection="1">
      <alignment horizontal="left" vertical="center" indent="1"/>
      <protection locked="0"/>
    </xf>
    <xf numFmtId="0" fontId="2" fillId="0" borderId="7" xfId="1" applyFont="1" applyBorder="1" applyAlignment="1" applyProtection="1">
      <alignment vertical="center"/>
      <protection locked="0"/>
    </xf>
    <xf numFmtId="4" fontId="3" fillId="0" borderId="8" xfId="1" applyNumberFormat="1" applyFont="1" applyBorder="1" applyAlignment="1" applyProtection="1">
      <alignment vertical="center"/>
      <protection locked="0"/>
    </xf>
    <xf numFmtId="0" fontId="3" fillId="0" borderId="7" xfId="1" applyFont="1" applyBorder="1" applyAlignment="1" applyProtection="1">
      <alignment vertical="center"/>
      <protection locked="0"/>
    </xf>
    <xf numFmtId="49" fontId="3" fillId="0" borderId="9" xfId="1" applyNumberFormat="1" applyFont="1" applyBorder="1" applyAlignment="1" applyProtection="1">
      <alignment horizontal="center" vertical="center"/>
      <protection locked="0"/>
    </xf>
    <xf numFmtId="49" fontId="3" fillId="0" borderId="10" xfId="1" applyNumberFormat="1" applyFont="1" applyBorder="1" applyAlignment="1" applyProtection="1">
      <alignment horizontal="center" vertical="center"/>
      <protection locked="0"/>
    </xf>
    <xf numFmtId="0" fontId="3" fillId="0" borderId="11" xfId="1" applyFont="1" applyBorder="1" applyAlignment="1" applyProtection="1">
      <alignment horizontal="left" vertical="center" indent="1"/>
      <protection locked="0"/>
    </xf>
    <xf numFmtId="0" fontId="3" fillId="0" borderId="11" xfId="1" applyFont="1" applyBorder="1" applyAlignment="1" applyProtection="1">
      <alignment horizontal="center" vertical="center"/>
      <protection locked="0"/>
    </xf>
    <xf numFmtId="4" fontId="3" fillId="0" borderId="12" xfId="1" applyNumberFormat="1" applyFont="1" applyBorder="1" applyAlignment="1" applyProtection="1">
      <alignment vertical="center"/>
      <protection locked="0"/>
    </xf>
    <xf numFmtId="49" fontId="1" fillId="0" borderId="0" xfId="1" applyNumberFormat="1" applyAlignment="1">
      <alignment vertical="center"/>
    </xf>
    <xf numFmtId="0" fontId="1" fillId="0" borderId="0" xfId="1" applyAlignment="1">
      <alignment vertical="center"/>
    </xf>
    <xf numFmtId="49" fontId="1" fillId="0" borderId="0" xfId="1" applyNumberFormat="1"/>
  </cellXfs>
  <cellStyles count="2">
    <cellStyle name="Excel Built-in Normal 1" xfId="1" xr:uid="{D4616B01-DA5E-48F7-8647-2962C9F7036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8A22-E860-4D93-BD31-5F7125194342}">
  <dimension ref="A1:E67"/>
  <sheetViews>
    <sheetView showZeros="0" tabSelected="1" workbookViewId="0">
      <selection activeCell="K12" sqref="K12"/>
    </sheetView>
  </sheetViews>
  <sheetFormatPr baseColWidth="10" defaultColWidth="11.5546875" defaultRowHeight="13.2" x14ac:dyDescent="0.25"/>
  <cols>
    <col min="1" max="2" width="7.21875" style="24" customWidth="1"/>
    <col min="3" max="3" width="49.44140625" style="5" customWidth="1"/>
    <col min="4" max="4" width="5.6640625" style="5" customWidth="1"/>
    <col min="5" max="5" width="9.77734375" style="5" customWidth="1"/>
    <col min="6" max="194" width="8.77734375" style="5" customWidth="1"/>
    <col min="195" max="16384" width="11.5546875" style="5"/>
  </cols>
  <sheetData>
    <row r="1" spans="1:5" s="5" customFormat="1" ht="27.6" customHeight="1" thickTop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s="5" customFormat="1" ht="14.4" customHeight="1" x14ac:dyDescent="0.25">
      <c r="A2" s="6" t="s">
        <v>5</v>
      </c>
      <c r="B2" s="7"/>
      <c r="C2" s="8" t="s">
        <v>6</v>
      </c>
      <c r="D2" s="9"/>
      <c r="E2" s="10"/>
    </row>
    <row r="3" spans="1:5" s="5" customFormat="1" ht="14.4" customHeight="1" x14ac:dyDescent="0.25">
      <c r="A3" s="11"/>
      <c r="B3" s="12" t="s">
        <v>5</v>
      </c>
      <c r="C3" s="13" t="s">
        <v>7</v>
      </c>
      <c r="D3" s="9" t="s">
        <v>8</v>
      </c>
      <c r="E3" s="10">
        <v>2</v>
      </c>
    </row>
    <row r="4" spans="1:5" s="5" customFormat="1" ht="14.4" customHeight="1" x14ac:dyDescent="0.25">
      <c r="A4" s="11"/>
      <c r="B4" s="12" t="s">
        <v>9</v>
      </c>
      <c r="C4" s="13" t="s">
        <v>10</v>
      </c>
      <c r="D4" s="9" t="s">
        <v>11</v>
      </c>
      <c r="E4" s="10">
        <v>1.2</v>
      </c>
    </row>
    <row r="5" spans="1:5" s="5" customFormat="1" ht="14.4" customHeight="1" x14ac:dyDescent="0.25">
      <c r="A5" s="11"/>
      <c r="B5" s="12" t="s">
        <v>12</v>
      </c>
      <c r="C5" s="13" t="s">
        <v>13</v>
      </c>
      <c r="D5" s="9" t="s">
        <v>8</v>
      </c>
      <c r="E5" s="10">
        <v>2</v>
      </c>
    </row>
    <row r="6" spans="1:5" s="5" customFormat="1" ht="14.4" customHeight="1" x14ac:dyDescent="0.25">
      <c r="A6" s="11"/>
      <c r="B6" s="12" t="s">
        <v>14</v>
      </c>
      <c r="C6" s="13" t="s">
        <v>15</v>
      </c>
      <c r="D6" s="9" t="s">
        <v>16</v>
      </c>
      <c r="E6" s="10">
        <v>3.1</v>
      </c>
    </row>
    <row r="7" spans="1:5" s="5" customFormat="1" ht="14.4" customHeight="1" x14ac:dyDescent="0.25">
      <c r="A7" s="11"/>
      <c r="B7" s="12" t="s">
        <v>17</v>
      </c>
      <c r="C7" s="13" t="s">
        <v>18</v>
      </c>
      <c r="D7" s="9" t="s">
        <v>19</v>
      </c>
      <c r="E7" s="10">
        <v>1</v>
      </c>
    </row>
    <row r="8" spans="1:5" s="5" customFormat="1" ht="14.4" customHeight="1" x14ac:dyDescent="0.25">
      <c r="A8" s="11"/>
      <c r="B8" s="12" t="s">
        <v>20</v>
      </c>
      <c r="C8" s="13" t="s">
        <v>21</v>
      </c>
      <c r="D8" s="9" t="s">
        <v>19</v>
      </c>
      <c r="E8" s="10">
        <v>1</v>
      </c>
    </row>
    <row r="9" spans="1:5" s="5" customFormat="1" ht="14.4" customHeight="1" x14ac:dyDescent="0.25">
      <c r="A9" s="11"/>
      <c r="B9" s="12" t="s">
        <v>22</v>
      </c>
      <c r="C9" s="13" t="s">
        <v>23</v>
      </c>
      <c r="D9" s="9" t="s">
        <v>11</v>
      </c>
      <c r="E9" s="10">
        <f>(1.8+3.3+1.4)*0.3*0.4</f>
        <v>0.78</v>
      </c>
    </row>
    <row r="10" spans="1:5" s="5" customFormat="1" ht="14.4" customHeight="1" x14ac:dyDescent="0.25">
      <c r="A10" s="6" t="s">
        <v>9</v>
      </c>
      <c r="B10" s="7"/>
      <c r="C10" s="14" t="s">
        <v>24</v>
      </c>
      <c r="D10" s="9"/>
      <c r="E10" s="10"/>
    </row>
    <row r="11" spans="1:5" s="5" customFormat="1" ht="14.4" customHeight="1" x14ac:dyDescent="0.25">
      <c r="A11" s="11"/>
      <c r="B11" s="12" t="s">
        <v>5</v>
      </c>
      <c r="C11" s="13" t="s">
        <v>25</v>
      </c>
      <c r="D11" s="9" t="s">
        <v>11</v>
      </c>
      <c r="E11" s="15">
        <f>4*0.8*0.8*1</f>
        <v>2.5600000000000005</v>
      </c>
    </row>
    <row r="12" spans="1:5" s="5" customFormat="1" ht="14.4" customHeight="1" x14ac:dyDescent="0.25">
      <c r="A12" s="11"/>
      <c r="B12" s="12" t="s">
        <v>9</v>
      </c>
      <c r="C12" s="13" t="s">
        <v>26</v>
      </c>
      <c r="D12" s="9" t="s">
        <v>27</v>
      </c>
      <c r="E12" s="15">
        <f>2.3*3.1</f>
        <v>7.13</v>
      </c>
    </row>
    <row r="13" spans="1:5" s="5" customFormat="1" ht="14.4" customHeight="1" x14ac:dyDescent="0.25">
      <c r="A13" s="11"/>
      <c r="B13" s="12" t="s">
        <v>12</v>
      </c>
      <c r="C13" s="13" t="s">
        <v>28</v>
      </c>
      <c r="D13" s="9" t="s">
        <v>11</v>
      </c>
      <c r="E13" s="15">
        <f>+(1.8+2.3+3.3)*0.2*0.3</f>
        <v>0.44400000000000001</v>
      </c>
    </row>
    <row r="14" spans="1:5" s="5" customFormat="1" ht="14.4" customHeight="1" x14ac:dyDescent="0.25">
      <c r="A14" s="6" t="s">
        <v>12</v>
      </c>
      <c r="B14" s="7"/>
      <c r="C14" s="14" t="s">
        <v>29</v>
      </c>
      <c r="D14" s="9"/>
      <c r="E14" s="10"/>
    </row>
    <row r="15" spans="1:5" s="5" customFormat="1" ht="14.4" customHeight="1" x14ac:dyDescent="0.25">
      <c r="A15" s="11"/>
      <c r="B15" s="12" t="s">
        <v>5</v>
      </c>
      <c r="C15" s="13" t="s">
        <v>30</v>
      </c>
      <c r="D15" s="9" t="s">
        <v>27</v>
      </c>
      <c r="E15" s="15">
        <f>2.3*3.1</f>
        <v>7.13</v>
      </c>
    </row>
    <row r="16" spans="1:5" s="5" customFormat="1" ht="14.4" customHeight="1" x14ac:dyDescent="0.25">
      <c r="A16" s="11"/>
      <c r="B16" s="12" t="s">
        <v>9</v>
      </c>
      <c r="C16" s="13" t="s">
        <v>31</v>
      </c>
      <c r="D16" s="9" t="s">
        <v>27</v>
      </c>
      <c r="E16" s="15">
        <f>+E15</f>
        <v>7.13</v>
      </c>
    </row>
    <row r="17" spans="1:5" s="5" customFormat="1" ht="14.4" customHeight="1" x14ac:dyDescent="0.25">
      <c r="A17" s="11"/>
      <c r="B17" s="12" t="s">
        <v>12</v>
      </c>
      <c r="C17" s="13" t="s">
        <v>32</v>
      </c>
      <c r="D17" s="9" t="s">
        <v>27</v>
      </c>
      <c r="E17" s="15">
        <f>+E16</f>
        <v>7.13</v>
      </c>
    </row>
    <row r="18" spans="1:5" s="5" customFormat="1" ht="14.4" customHeight="1" x14ac:dyDescent="0.25">
      <c r="A18" s="11"/>
      <c r="B18" s="12" t="s">
        <v>14</v>
      </c>
      <c r="C18" s="13" t="s">
        <v>33</v>
      </c>
      <c r="D18" s="9" t="s">
        <v>27</v>
      </c>
      <c r="E18" s="15">
        <f>2.3*3.1</f>
        <v>7.13</v>
      </c>
    </row>
    <row r="19" spans="1:5" s="5" customFormat="1" ht="14.4" customHeight="1" x14ac:dyDescent="0.25">
      <c r="A19" s="11"/>
      <c r="B19" s="12" t="s">
        <v>17</v>
      </c>
      <c r="C19" s="13" t="s">
        <v>34</v>
      </c>
      <c r="D19" s="9" t="s">
        <v>27</v>
      </c>
      <c r="E19" s="15">
        <f>+(1.8+2.3+1.4)*1.2</f>
        <v>6.6</v>
      </c>
    </row>
    <row r="20" spans="1:5" s="5" customFormat="1" ht="14.4" customHeight="1" x14ac:dyDescent="0.25">
      <c r="A20" s="11"/>
      <c r="B20" s="12" t="s">
        <v>20</v>
      </c>
      <c r="C20" s="13" t="s">
        <v>35</v>
      </c>
      <c r="D20" s="9" t="s">
        <v>27</v>
      </c>
      <c r="E20" s="15">
        <f>(1.8+3.3+1.4)*4.3</f>
        <v>27.95</v>
      </c>
    </row>
    <row r="21" spans="1:5" s="5" customFormat="1" ht="14.4" customHeight="1" x14ac:dyDescent="0.25">
      <c r="A21" s="11"/>
      <c r="B21" s="12" t="s">
        <v>22</v>
      </c>
      <c r="C21" s="13" t="s">
        <v>36</v>
      </c>
      <c r="D21" s="9" t="s">
        <v>27</v>
      </c>
      <c r="E21" s="15">
        <f>+E20</f>
        <v>27.95</v>
      </c>
    </row>
    <row r="22" spans="1:5" s="5" customFormat="1" ht="14.4" customHeight="1" x14ac:dyDescent="0.25">
      <c r="A22" s="6" t="s">
        <v>14</v>
      </c>
      <c r="B22" s="7"/>
      <c r="C22" s="14" t="s">
        <v>37</v>
      </c>
      <c r="D22" s="9"/>
      <c r="E22" s="10"/>
    </row>
    <row r="23" spans="1:5" s="5" customFormat="1" ht="14.4" customHeight="1" x14ac:dyDescent="0.25">
      <c r="A23" s="11"/>
      <c r="B23" s="12" t="s">
        <v>38</v>
      </c>
      <c r="C23" s="16" t="s">
        <v>39</v>
      </c>
      <c r="D23" s="9"/>
      <c r="E23" s="15"/>
    </row>
    <row r="24" spans="1:5" s="5" customFormat="1" ht="14.4" customHeight="1" x14ac:dyDescent="0.25">
      <c r="A24" s="11"/>
      <c r="B24" s="12" t="s">
        <v>5</v>
      </c>
      <c r="C24" s="13" t="s">
        <v>40</v>
      </c>
      <c r="D24" s="9" t="s">
        <v>27</v>
      </c>
      <c r="E24" s="15">
        <f>+(1.8+2.3+3.3)*2.6</f>
        <v>19.239999999999998</v>
      </c>
    </row>
    <row r="25" spans="1:5" s="5" customFormat="1" ht="14.4" customHeight="1" x14ac:dyDescent="0.25">
      <c r="A25" s="11"/>
      <c r="B25" s="12" t="s">
        <v>9</v>
      </c>
      <c r="C25" s="13" t="s">
        <v>41</v>
      </c>
      <c r="D25" s="9" t="s">
        <v>27</v>
      </c>
      <c r="E25" s="15">
        <f>+E24</f>
        <v>19.239999999999998</v>
      </c>
    </row>
    <row r="26" spans="1:5" s="5" customFormat="1" ht="14.4" customHeight="1" x14ac:dyDescent="0.25">
      <c r="A26" s="11"/>
      <c r="B26" s="12" t="s">
        <v>42</v>
      </c>
      <c r="C26" s="16" t="s">
        <v>43</v>
      </c>
      <c r="D26" s="9"/>
      <c r="E26" s="15"/>
    </row>
    <row r="27" spans="1:5" s="5" customFormat="1" ht="14.4" customHeight="1" x14ac:dyDescent="0.25">
      <c r="A27" s="11"/>
      <c r="B27" s="12" t="s">
        <v>5</v>
      </c>
      <c r="C27" s="13" t="s">
        <v>44</v>
      </c>
      <c r="D27" s="9" t="s">
        <v>27</v>
      </c>
      <c r="E27" s="15">
        <f>2.1*3.1</f>
        <v>6.5100000000000007</v>
      </c>
    </row>
    <row r="28" spans="1:5" s="5" customFormat="1" ht="14.4" customHeight="1" x14ac:dyDescent="0.25">
      <c r="A28" s="11"/>
      <c r="B28" s="12" t="s">
        <v>9</v>
      </c>
      <c r="C28" s="13" t="s">
        <v>40</v>
      </c>
      <c r="D28" s="9" t="s">
        <v>27</v>
      </c>
      <c r="E28" s="15">
        <f t="shared" ref="E28" si="0">+E27</f>
        <v>6.5100000000000007</v>
      </c>
    </row>
    <row r="29" spans="1:5" s="5" customFormat="1" ht="14.4" customHeight="1" x14ac:dyDescent="0.25">
      <c r="A29" s="11"/>
      <c r="B29" s="12" t="s">
        <v>12</v>
      </c>
      <c r="C29" s="13" t="s">
        <v>41</v>
      </c>
      <c r="D29" s="9" t="s">
        <v>27</v>
      </c>
      <c r="E29" s="15">
        <f>+E28</f>
        <v>6.5100000000000007</v>
      </c>
    </row>
    <row r="30" spans="1:5" s="5" customFormat="1" ht="14.4" customHeight="1" x14ac:dyDescent="0.25">
      <c r="A30" s="6" t="s">
        <v>17</v>
      </c>
      <c r="B30" s="7"/>
      <c r="C30" s="14" t="s">
        <v>45</v>
      </c>
      <c r="D30" s="9"/>
      <c r="E30" s="10"/>
    </row>
    <row r="31" spans="1:5" s="5" customFormat="1" ht="14.4" customHeight="1" x14ac:dyDescent="0.25">
      <c r="A31" s="11"/>
      <c r="B31" s="12" t="s">
        <v>5</v>
      </c>
      <c r="C31" s="13" t="s">
        <v>46</v>
      </c>
      <c r="D31" s="9" t="s">
        <v>16</v>
      </c>
      <c r="E31" s="15">
        <f>6*2.3</f>
        <v>13.799999999999999</v>
      </c>
    </row>
    <row r="32" spans="1:5" s="5" customFormat="1" ht="14.4" customHeight="1" x14ac:dyDescent="0.25">
      <c r="A32" s="11"/>
      <c r="B32" s="12" t="s">
        <v>9</v>
      </c>
      <c r="C32" s="13" t="s">
        <v>47</v>
      </c>
      <c r="D32" s="9" t="s">
        <v>27</v>
      </c>
      <c r="E32" s="15">
        <v>7</v>
      </c>
    </row>
    <row r="33" spans="1:5" s="5" customFormat="1" ht="14.4" customHeight="1" x14ac:dyDescent="0.25">
      <c r="A33" s="11"/>
      <c r="B33" s="12" t="s">
        <v>12</v>
      </c>
      <c r="C33" s="13" t="s">
        <v>48</v>
      </c>
      <c r="D33" s="9" t="s">
        <v>27</v>
      </c>
      <c r="E33" s="15">
        <f>+E32</f>
        <v>7</v>
      </c>
    </row>
    <row r="34" spans="1:5" s="5" customFormat="1" ht="14.4" customHeight="1" x14ac:dyDescent="0.25">
      <c r="A34" s="11"/>
      <c r="B34" s="12" t="s">
        <v>14</v>
      </c>
      <c r="C34" s="13" t="s">
        <v>40</v>
      </c>
      <c r="D34" s="9" t="s">
        <v>27</v>
      </c>
      <c r="E34" s="15">
        <f>+E32</f>
        <v>7</v>
      </c>
    </row>
    <row r="35" spans="1:5" s="5" customFormat="1" ht="14.4" customHeight="1" x14ac:dyDescent="0.25">
      <c r="A35" s="11"/>
      <c r="B35" s="12" t="s">
        <v>17</v>
      </c>
      <c r="C35" s="13" t="s">
        <v>49</v>
      </c>
      <c r="D35" s="9" t="s">
        <v>27</v>
      </c>
      <c r="E35" s="15">
        <f>+E34</f>
        <v>7</v>
      </c>
    </row>
    <row r="36" spans="1:5" s="5" customFormat="1" ht="14.4" customHeight="1" x14ac:dyDescent="0.25">
      <c r="A36" s="6" t="s">
        <v>20</v>
      </c>
      <c r="B36" s="7"/>
      <c r="C36" s="14" t="s">
        <v>50</v>
      </c>
      <c r="D36" s="9"/>
      <c r="E36" s="10"/>
    </row>
    <row r="37" spans="1:5" s="5" customFormat="1" ht="14.4" customHeight="1" x14ac:dyDescent="0.25">
      <c r="A37" s="11"/>
      <c r="B37" s="12" t="s">
        <v>5</v>
      </c>
      <c r="C37" s="13" t="s">
        <v>51</v>
      </c>
      <c r="D37" s="9" t="s">
        <v>19</v>
      </c>
      <c r="E37" s="15">
        <v>1</v>
      </c>
    </row>
    <row r="38" spans="1:5" s="5" customFormat="1" ht="14.4" customHeight="1" x14ac:dyDescent="0.25">
      <c r="A38" s="11"/>
      <c r="B38" s="12" t="s">
        <v>9</v>
      </c>
      <c r="C38" s="13" t="s">
        <v>52</v>
      </c>
      <c r="D38" s="9" t="s">
        <v>19</v>
      </c>
      <c r="E38" s="15">
        <v>1</v>
      </c>
    </row>
    <row r="39" spans="1:5" s="5" customFormat="1" ht="14.4" customHeight="1" x14ac:dyDescent="0.25">
      <c r="A39" s="11"/>
      <c r="B39" s="12" t="s">
        <v>12</v>
      </c>
      <c r="C39" s="13" t="s">
        <v>53</v>
      </c>
      <c r="D39" s="9" t="s">
        <v>19</v>
      </c>
      <c r="E39" s="15">
        <v>1</v>
      </c>
    </row>
    <row r="40" spans="1:5" s="5" customFormat="1" ht="14.4" customHeight="1" x14ac:dyDescent="0.25">
      <c r="A40" s="6" t="s">
        <v>22</v>
      </c>
      <c r="B40" s="7"/>
      <c r="C40" s="14" t="s">
        <v>54</v>
      </c>
      <c r="D40" s="9"/>
      <c r="E40" s="10"/>
    </row>
    <row r="41" spans="1:5" s="5" customFormat="1" ht="14.4" customHeight="1" x14ac:dyDescent="0.25">
      <c r="A41" s="11"/>
      <c r="B41" s="12" t="s">
        <v>5</v>
      </c>
      <c r="C41" s="13" t="s">
        <v>55</v>
      </c>
      <c r="D41" s="9" t="s">
        <v>8</v>
      </c>
      <c r="E41" s="15">
        <v>1</v>
      </c>
    </row>
    <row r="42" spans="1:5" s="5" customFormat="1" ht="14.4" customHeight="1" x14ac:dyDescent="0.25">
      <c r="A42" s="11"/>
      <c r="B42" s="12" t="s">
        <v>9</v>
      </c>
      <c r="C42" s="13" t="s">
        <v>56</v>
      </c>
      <c r="D42" s="9" t="s">
        <v>8</v>
      </c>
      <c r="E42" s="15">
        <v>1</v>
      </c>
    </row>
    <row r="43" spans="1:5" s="5" customFormat="1" ht="14.4" customHeight="1" x14ac:dyDescent="0.25">
      <c r="A43" s="11"/>
      <c r="B43" s="12" t="s">
        <v>12</v>
      </c>
      <c r="C43" s="13" t="s">
        <v>57</v>
      </c>
      <c r="D43" s="9" t="s">
        <v>8</v>
      </c>
      <c r="E43" s="15">
        <v>1</v>
      </c>
    </row>
    <row r="44" spans="1:5" s="5" customFormat="1" ht="14.4" customHeight="1" x14ac:dyDescent="0.25">
      <c r="A44" s="6" t="s">
        <v>58</v>
      </c>
      <c r="B44" s="7"/>
      <c r="C44" s="14" t="s">
        <v>59</v>
      </c>
      <c r="D44" s="9"/>
      <c r="E44" s="10"/>
    </row>
    <row r="45" spans="1:5" s="5" customFormat="1" ht="14.4" customHeight="1" x14ac:dyDescent="0.25">
      <c r="A45" s="11"/>
      <c r="B45" s="12" t="s">
        <v>5</v>
      </c>
      <c r="C45" s="13" t="s">
        <v>60</v>
      </c>
      <c r="D45" s="9" t="s">
        <v>8</v>
      </c>
      <c r="E45" s="15">
        <v>1</v>
      </c>
    </row>
    <row r="46" spans="1:5" s="5" customFormat="1" ht="14.4" customHeight="1" x14ac:dyDescent="0.25">
      <c r="A46" s="11"/>
      <c r="B46" s="12" t="s">
        <v>9</v>
      </c>
      <c r="C46" s="13" t="s">
        <v>61</v>
      </c>
      <c r="D46" s="9" t="s">
        <v>8</v>
      </c>
      <c r="E46" s="15">
        <v>3</v>
      </c>
    </row>
    <row r="47" spans="1:5" s="5" customFormat="1" ht="14.4" customHeight="1" x14ac:dyDescent="0.25">
      <c r="A47" s="11"/>
      <c r="B47" s="12" t="s">
        <v>12</v>
      </c>
      <c r="C47" s="13" t="s">
        <v>62</v>
      </c>
      <c r="D47" s="9" t="s">
        <v>8</v>
      </c>
      <c r="E47" s="15">
        <v>1</v>
      </c>
    </row>
    <row r="48" spans="1:5" s="5" customFormat="1" ht="14.4" customHeight="1" x14ac:dyDescent="0.25">
      <c r="A48" s="11"/>
      <c r="B48" s="12" t="s">
        <v>14</v>
      </c>
      <c r="C48" s="13" t="s">
        <v>63</v>
      </c>
      <c r="D48" s="9" t="s">
        <v>8</v>
      </c>
      <c r="E48" s="15">
        <v>1</v>
      </c>
    </row>
    <row r="49" spans="1:5" s="5" customFormat="1" ht="14.4" customHeight="1" x14ac:dyDescent="0.25">
      <c r="A49" s="11"/>
      <c r="B49" s="12" t="s">
        <v>17</v>
      </c>
      <c r="C49" s="13" t="s">
        <v>64</v>
      </c>
      <c r="D49" s="9" t="s">
        <v>8</v>
      </c>
      <c r="E49" s="15">
        <v>1</v>
      </c>
    </row>
    <row r="50" spans="1:5" s="5" customFormat="1" ht="14.4" customHeight="1" x14ac:dyDescent="0.25">
      <c r="A50" s="6" t="s">
        <v>65</v>
      </c>
      <c r="B50" s="7"/>
      <c r="C50" s="14" t="s">
        <v>66</v>
      </c>
      <c r="D50" s="9"/>
      <c r="E50" s="10"/>
    </row>
    <row r="51" spans="1:5" s="5" customFormat="1" ht="14.4" customHeight="1" x14ac:dyDescent="0.25">
      <c r="A51" s="11"/>
      <c r="B51" s="12" t="s">
        <v>5</v>
      </c>
      <c r="C51" s="13" t="s">
        <v>67</v>
      </c>
      <c r="D51" s="9" t="s">
        <v>16</v>
      </c>
      <c r="E51" s="15">
        <v>2.2999999999999998</v>
      </c>
    </row>
    <row r="52" spans="1:5" s="5" customFormat="1" ht="14.4" customHeight="1" x14ac:dyDescent="0.25">
      <c r="A52" s="11"/>
      <c r="B52" s="12" t="s">
        <v>9</v>
      </c>
      <c r="C52" s="13" t="s">
        <v>68</v>
      </c>
      <c r="D52" s="9" t="s">
        <v>16</v>
      </c>
      <c r="E52" s="15">
        <v>3</v>
      </c>
    </row>
    <row r="53" spans="1:5" s="5" customFormat="1" ht="14.4" customHeight="1" x14ac:dyDescent="0.25">
      <c r="A53" s="11"/>
      <c r="B53" s="12" t="s">
        <v>12</v>
      </c>
      <c r="C53" s="13" t="s">
        <v>69</v>
      </c>
      <c r="D53" s="9" t="s">
        <v>16</v>
      </c>
      <c r="E53" s="15">
        <v>2</v>
      </c>
    </row>
    <row r="54" spans="1:5" s="5" customFormat="1" ht="14.4" customHeight="1" x14ac:dyDescent="0.25">
      <c r="A54" s="11"/>
      <c r="B54" s="12" t="s">
        <v>14</v>
      </c>
      <c r="C54" s="13" t="s">
        <v>70</v>
      </c>
      <c r="D54" s="9" t="s">
        <v>16</v>
      </c>
      <c r="E54" s="15">
        <f>2*5.4</f>
        <v>10.8</v>
      </c>
    </row>
    <row r="55" spans="1:5" s="5" customFormat="1" ht="14.4" customHeight="1" x14ac:dyDescent="0.25">
      <c r="A55" s="6" t="s">
        <v>71</v>
      </c>
      <c r="B55" s="7"/>
      <c r="C55" s="14" t="s">
        <v>72</v>
      </c>
      <c r="D55" s="9"/>
      <c r="E55" s="15"/>
    </row>
    <row r="56" spans="1:5" s="5" customFormat="1" ht="14.4" customHeight="1" x14ac:dyDescent="0.25">
      <c r="A56" s="11"/>
      <c r="B56" s="12" t="s">
        <v>5</v>
      </c>
      <c r="C56" s="13" t="s">
        <v>73</v>
      </c>
      <c r="D56" s="9" t="s">
        <v>16</v>
      </c>
      <c r="E56" s="15">
        <f>(1.8+3.3+1.4)</f>
        <v>6.5</v>
      </c>
    </row>
    <row r="57" spans="1:5" s="5" customFormat="1" ht="14.4" customHeight="1" x14ac:dyDescent="0.25">
      <c r="A57" s="11"/>
      <c r="B57" s="12" t="s">
        <v>9</v>
      </c>
      <c r="C57" s="13" t="s">
        <v>74</v>
      </c>
      <c r="D57" s="9" t="s">
        <v>16</v>
      </c>
      <c r="E57" s="15">
        <v>5.2</v>
      </c>
    </row>
    <row r="58" spans="1:5" ht="14.4" customHeight="1" x14ac:dyDescent="0.25">
      <c r="A58" s="11"/>
      <c r="B58" s="12" t="s">
        <v>12</v>
      </c>
      <c r="C58" s="13" t="s">
        <v>75</v>
      </c>
      <c r="D58" s="9" t="s">
        <v>16</v>
      </c>
      <c r="E58" s="15">
        <f t="shared" ref="E58" si="1">1.8+3.1+2.3</f>
        <v>7.2</v>
      </c>
    </row>
    <row r="59" spans="1:5" ht="14.4" customHeight="1" x14ac:dyDescent="0.25">
      <c r="A59" s="6" t="s">
        <v>76</v>
      </c>
      <c r="B59" s="7"/>
      <c r="C59" s="14" t="s">
        <v>77</v>
      </c>
      <c r="D59" s="9"/>
      <c r="E59" s="15"/>
    </row>
    <row r="60" spans="1:5" ht="14.4" customHeight="1" x14ac:dyDescent="0.25">
      <c r="A60" s="11"/>
      <c r="B60" s="12" t="s">
        <v>5</v>
      </c>
      <c r="C60" s="13" t="s">
        <v>78</v>
      </c>
      <c r="D60" s="9" t="s">
        <v>16</v>
      </c>
      <c r="E60" s="15">
        <f>+(2.3*3.1)*2.6+7</f>
        <v>25.538</v>
      </c>
    </row>
    <row r="61" spans="1:5" s="5" customFormat="1" ht="14.4" customHeight="1" x14ac:dyDescent="0.25">
      <c r="A61" s="11"/>
      <c r="B61" s="12" t="s">
        <v>9</v>
      </c>
      <c r="C61" s="13" t="s">
        <v>79</v>
      </c>
      <c r="D61" s="9" t="s">
        <v>16</v>
      </c>
      <c r="E61" s="15">
        <f>(1.8+3.3+1.4)*4.8</f>
        <v>31.2</v>
      </c>
    </row>
    <row r="62" spans="1:5" s="5" customFormat="1" ht="14.4" customHeight="1" x14ac:dyDescent="0.25">
      <c r="A62" s="6" t="s">
        <v>76</v>
      </c>
      <c r="B62" s="7"/>
      <c r="C62" s="14" t="s">
        <v>80</v>
      </c>
      <c r="D62" s="9"/>
      <c r="E62" s="15"/>
    </row>
    <row r="63" spans="1:5" s="5" customFormat="1" ht="14.4" customHeight="1" x14ac:dyDescent="0.25">
      <c r="A63" s="11"/>
      <c r="B63" s="12" t="s">
        <v>5</v>
      </c>
      <c r="C63" s="13" t="s">
        <v>81</v>
      </c>
      <c r="D63" s="9" t="s">
        <v>19</v>
      </c>
      <c r="E63" s="15">
        <v>1</v>
      </c>
    </row>
    <row r="64" spans="1:5" s="5" customFormat="1" ht="14.4" customHeight="1" x14ac:dyDescent="0.25">
      <c r="A64" s="11"/>
      <c r="B64" s="12" t="s">
        <v>9</v>
      </c>
      <c r="C64" s="13" t="s">
        <v>82</v>
      </c>
      <c r="D64" s="9" t="s">
        <v>19</v>
      </c>
      <c r="E64" s="15">
        <v>1</v>
      </c>
    </row>
    <row r="65" spans="1:5" s="5" customFormat="1" ht="13.8" thickBot="1" x14ac:dyDescent="0.3">
      <c r="A65" s="17"/>
      <c r="B65" s="18" t="s">
        <v>12</v>
      </c>
      <c r="C65" s="19" t="s">
        <v>83</v>
      </c>
      <c r="D65" s="20" t="s">
        <v>19</v>
      </c>
      <c r="E65" s="21">
        <v>1</v>
      </c>
    </row>
    <row r="66" spans="1:5" s="5" customFormat="1" ht="13.8" thickTop="1" x14ac:dyDescent="0.25">
      <c r="A66" s="22"/>
      <c r="B66" s="22"/>
      <c r="C66" s="23"/>
      <c r="D66" s="23"/>
      <c r="E66" s="23"/>
    </row>
    <row r="67" spans="1:5" x14ac:dyDescent="0.25">
      <c r="A67" s="22"/>
      <c r="B67" s="22"/>
      <c r="C67" s="23"/>
      <c r="D67" s="23"/>
      <c r="E67" s="23"/>
    </row>
  </sheetData>
  <sheetProtection selectLockedCells="1" selectUnlockedCells="1"/>
  <printOptions horizontalCentered="1"/>
  <pageMargins left="0.2" right="0.15972222222222221" top="0.67986111111111114" bottom="0.27986111111111112" header="0.51180555555555551" footer="0.51180555555555551"/>
  <pageSetup paperSize="9" scale="106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</vt:i4>
      </vt:variant>
    </vt:vector>
  </HeadingPairs>
  <TitlesOfParts>
    <vt:vector size="8" baseType="lpstr">
      <vt:lpstr>Mampostería</vt:lpstr>
      <vt:lpstr>Mampostería!___xlnm.Print_Area</vt:lpstr>
      <vt:lpstr>Mampostería!___xlnm.Print_Titles</vt:lpstr>
      <vt:lpstr>Mampostería!__xlnm.Print_Area</vt:lpstr>
      <vt:lpstr>Mampostería!__xlnm.Print_Titles</vt:lpstr>
      <vt:lpstr>Mampostería!Área_de_impresión</vt:lpstr>
      <vt:lpstr>Mampostería!Excel_BuiltIn_Print_Area</vt:lpstr>
      <vt:lpstr>Mampostería!Títulos_a_imprimir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A. Marseillan</dc:creator>
  <cp:lastModifiedBy>Francisco A. Marseillan</cp:lastModifiedBy>
  <dcterms:created xsi:type="dcterms:W3CDTF">2026-08-04T20:18:18Z</dcterms:created>
  <dcterms:modified xsi:type="dcterms:W3CDTF">2026-08-04T20:19:57Z</dcterms:modified>
</cp:coreProperties>
</file>