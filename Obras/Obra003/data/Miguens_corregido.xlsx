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opbox\Claude\Costos_de_construccion\Obras\Obra003\data\"/>
    </mc:Choice>
  </mc:AlternateContent>
  <xr:revisionPtr revIDLastSave="0" documentId="13_ncr:1_{23D6F527-B88B-4889-B564-8E4259795991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Co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71" i="1"/>
  <c r="E69" i="1"/>
  <c r="E67" i="1"/>
  <c r="E40" i="1"/>
  <c r="E29" i="1"/>
  <c r="E28" i="1"/>
  <c r="E16" i="1"/>
  <c r="E14" i="1"/>
  <c r="E13" i="1"/>
  <c r="E12" i="1"/>
  <c r="E10" i="1"/>
  <c r="E4" i="1"/>
</calcChain>
</file>

<file path=xl/sharedStrings.xml><?xml version="1.0" encoding="utf-8"?>
<sst xmlns="http://schemas.openxmlformats.org/spreadsheetml/2006/main" count="269" uniqueCount="93">
  <si>
    <t>RUBRO</t>
  </si>
  <si>
    <t>ITEM</t>
  </si>
  <si>
    <t>DESCRIPCION</t>
  </si>
  <si>
    <t>Un.</t>
  </si>
  <si>
    <t>Cantidad</t>
  </si>
  <si>
    <t>01</t>
  </si>
  <si>
    <t>Tareas Preliminares</t>
  </si>
  <si>
    <t>Cortar columnas caño 3"</t>
  </si>
  <si>
    <t>un</t>
  </si>
  <si>
    <t>02</t>
  </si>
  <si>
    <t>Excavación 2 pozos para nuevas columnas</t>
  </si>
  <si>
    <t>m3</t>
  </si>
  <si>
    <t>03</t>
  </si>
  <si>
    <t>Colocación nuevas columnas caño 3"</t>
  </si>
  <si>
    <t>04</t>
  </si>
  <si>
    <t>Caño estructural 4x8 nuevo apoyo</t>
  </si>
  <si>
    <t>ml</t>
  </si>
  <si>
    <t>05</t>
  </si>
  <si>
    <t>Corte de estructura y techo sobrante</t>
  </si>
  <si>
    <t>gl</t>
  </si>
  <si>
    <t>06</t>
  </si>
  <si>
    <t xml:space="preserve">Rehacer cierre en chapa rejilla </t>
  </si>
  <si>
    <t>07</t>
  </si>
  <si>
    <t>Excavación 4 pozos 80cm de diámetro</t>
  </si>
  <si>
    <t>08</t>
  </si>
  <si>
    <t>Excavación viga de encadenado 30cm</t>
  </si>
  <si>
    <t>Estructura de Hormigón armado</t>
  </si>
  <si>
    <t>Pilotes 0,80 de diametro.</t>
  </si>
  <si>
    <t xml:space="preserve">Platea de Hormigón armado esp.0,15m </t>
  </si>
  <si>
    <t>m2</t>
  </si>
  <si>
    <t>Vigas encadenado 20x30</t>
  </si>
  <si>
    <t>Albañilería</t>
  </si>
  <si>
    <t>Capa aisladora horizontal c/ceresita s/platea (3cm)</t>
  </si>
  <si>
    <t xml:space="preserve">Poliestireno expandido 1" </t>
  </si>
  <si>
    <t>Carpeta de cemento alisada (5cm)</t>
  </si>
  <si>
    <t>Estructura Metálica STEEL FRAME - Sistema EIFS</t>
  </si>
  <si>
    <t>04-a</t>
  </si>
  <si>
    <t>Estructura</t>
  </si>
  <si>
    <t>Estructura perfiles C de 100 y U horizontales</t>
  </si>
  <si>
    <t>04-b</t>
  </si>
  <si>
    <t>Terminación Exterior</t>
  </si>
  <si>
    <t>Placa OSB exterior 19mm</t>
  </si>
  <si>
    <t>Fieltro impermeable exterior Tybek</t>
  </si>
  <si>
    <t>Placa Durlock Aquaboard 12,5mm</t>
  </si>
  <si>
    <t xml:space="preserve">Tratamiento de juntas placa Aquaboard </t>
  </si>
  <si>
    <t>Bloques EPS de Alta densidad</t>
  </si>
  <si>
    <t>Bloques EPS de Alta densidad en zócalo inferior</t>
  </si>
  <si>
    <t>Bloques EPS de Alta densidad en almohadones verticales</t>
  </si>
  <si>
    <t>Base Coat Durlock® + Malla Durlock</t>
  </si>
  <si>
    <t>Revestimiento final (Salpicrete llaneado)</t>
  </si>
  <si>
    <t>04-c</t>
  </si>
  <si>
    <t>Terminación Interior</t>
  </si>
  <si>
    <t>Lana de vidrio 2" con barrera de vapor</t>
  </si>
  <si>
    <t>Placa de yeso Durlock</t>
  </si>
  <si>
    <t>04-d</t>
  </si>
  <si>
    <t>Cielorraso</t>
  </si>
  <si>
    <t>Estructura independiente (soleras y montantes)</t>
  </si>
  <si>
    <t>09</t>
  </si>
  <si>
    <t>Estructura Metálica Cubierta</t>
  </si>
  <si>
    <t>05-a</t>
  </si>
  <si>
    <t>Estructura perfiles C de 100, transversales c/0,60</t>
  </si>
  <si>
    <t>05-b</t>
  </si>
  <si>
    <t>Terminación superior</t>
  </si>
  <si>
    <t>Chapa ondulada galvanizada N°27</t>
  </si>
  <si>
    <t>Demoliciones</t>
  </si>
  <si>
    <t>Mampostería 0,30 desde antepecho a carpeta</t>
  </si>
  <si>
    <t>Retiro de Ventana de PVC del frente</t>
  </si>
  <si>
    <t>Mampostería 0,30 ventiluz en baño</t>
  </si>
  <si>
    <t>Carpìnterìas</t>
  </si>
  <si>
    <t>Colocaciòn puerta tablero (izq) de acceso exterior</t>
  </si>
  <si>
    <t>Colocaciòn puerta placa (izq) de acceso dormitorio</t>
  </si>
  <si>
    <t>Colocaciòn ventiluz doble vidrio, baño existente</t>
  </si>
  <si>
    <t>Instalación Eléctrica</t>
  </si>
  <si>
    <t>Centro en cielorraso</t>
  </si>
  <si>
    <t>Tomacorrientes</t>
  </si>
  <si>
    <t>Boca de luz (brazo)</t>
  </si>
  <si>
    <t>Piso radiante eléctrico</t>
  </si>
  <si>
    <t>Refuerzo cableado desde farol ext. a tablero</t>
  </si>
  <si>
    <t>Zinguería</t>
  </si>
  <si>
    <t>Canaleta horizontal techo inclinado</t>
  </si>
  <si>
    <t>Bajada caño cuadrado</t>
  </si>
  <si>
    <t>Codo 45° desvio bajada existente para empalmar c/nueva</t>
  </si>
  <si>
    <t>Babetas de cierre laterales y de frente</t>
  </si>
  <si>
    <t>10</t>
  </si>
  <si>
    <t>Molduras</t>
  </si>
  <si>
    <t>Molduras horizontales de 25cm de altura</t>
  </si>
  <si>
    <t>Molduras perimetrales ventana</t>
  </si>
  <si>
    <t>Buñas horizontales sobre zócalos</t>
  </si>
  <si>
    <t>11</t>
  </si>
  <si>
    <t>Tareas generales</t>
  </si>
  <si>
    <t>Ayuda de gremios</t>
  </si>
  <si>
    <t>Retiro techo demolido y escombros demolición</t>
  </si>
  <si>
    <t>Limpieza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</si>
</sst>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medium">
        <color indexed="8"/>
      </bottom>
      <diagonal/>
    </border>
    <border>
      <left/>
      <right style="thin">
        <color indexed="8"/>
      </right>
      <top style="thick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medium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0" fontId="1" fillId="0" borderId="7" xfId="0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center" vertical="center"/>
    </xf>
    <xf numFmtId="4" fontId="2" fillId="0" borderId="1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46" workbookViewId="0">
      <selection activeCell="E76" sqref="E76"/>
    </sheetView>
  </sheetViews>
  <sheetFormatPr baseColWidth="10" defaultColWidth="9.23046875" defaultRowHeight="14.6" x14ac:dyDescent="0.4"/>
  <cols>
    <col min="1" max="1" width="7.23046875" customWidth="1"/>
    <col min="2" max="2" width="13" customWidth="1"/>
    <col min="3" max="3" width="49.4609375" customWidth="1"/>
    <col min="4" max="4" width="5.69140625" customWidth="1"/>
    <col min="5" max="5" width="9.765625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x14ac:dyDescent="0.4">
      <c r="A2" s="5" t="s">
        <v>5</v>
      </c>
      <c r="B2" s="6"/>
      <c r="C2" s="7" t="s">
        <v>6</v>
      </c>
      <c r="D2" s="8"/>
      <c r="E2" s="9"/>
    </row>
    <row r="3" spans="1:5" x14ac:dyDescent="0.4">
      <c r="A3" s="10" t="s">
        <v>5</v>
      </c>
      <c r="B3" s="11" t="s">
        <v>5</v>
      </c>
      <c r="C3" s="12" t="s">
        <v>7</v>
      </c>
      <c r="D3" s="8" t="s">
        <v>8</v>
      </c>
      <c r="E3" s="9">
        <v>2</v>
      </c>
    </row>
    <row r="4" spans="1:5" x14ac:dyDescent="0.4">
      <c r="A4" s="10" t="s">
        <v>5</v>
      </c>
      <c r="B4" s="11" t="s">
        <v>9</v>
      </c>
      <c r="C4" s="12" t="s">
        <v>10</v>
      </c>
      <c r="D4" s="8" t="s">
        <v>11</v>
      </c>
      <c r="E4" s="9">
        <f>0.3*0.3*0.4*2</f>
        <v>7.1999999999999995E-2</v>
      </c>
    </row>
    <row r="5" spans="1:5" x14ac:dyDescent="0.4">
      <c r="A5" s="10" t="s">
        <v>5</v>
      </c>
      <c r="B5" s="11" t="s">
        <v>12</v>
      </c>
      <c r="C5" s="12" t="s">
        <v>13</v>
      </c>
      <c r="D5" s="8" t="s">
        <v>8</v>
      </c>
      <c r="E5" s="9">
        <v>2</v>
      </c>
    </row>
    <row r="6" spans="1:5" x14ac:dyDescent="0.4">
      <c r="A6" s="10" t="s">
        <v>5</v>
      </c>
      <c r="B6" s="11" t="s">
        <v>14</v>
      </c>
      <c r="C6" s="12" t="s">
        <v>15</v>
      </c>
      <c r="D6" s="8" t="s">
        <v>16</v>
      </c>
      <c r="E6" s="9">
        <v>3.1</v>
      </c>
    </row>
    <row r="7" spans="1:5" x14ac:dyDescent="0.4">
      <c r="A7" s="10" t="s">
        <v>5</v>
      </c>
      <c r="B7" s="11" t="s">
        <v>17</v>
      </c>
      <c r="C7" s="12" t="s">
        <v>18</v>
      </c>
      <c r="D7" s="8" t="s">
        <v>19</v>
      </c>
      <c r="E7" s="9">
        <v>1</v>
      </c>
    </row>
    <row r="8" spans="1:5" x14ac:dyDescent="0.4">
      <c r="A8" s="10" t="s">
        <v>5</v>
      </c>
      <c r="B8" s="11" t="s">
        <v>20</v>
      </c>
      <c r="C8" s="12" t="s">
        <v>21</v>
      </c>
      <c r="D8" s="8" t="s">
        <v>19</v>
      </c>
      <c r="E8" s="9">
        <v>1</v>
      </c>
    </row>
    <row r="9" spans="1:5" x14ac:dyDescent="0.4">
      <c r="A9" s="10" t="s">
        <v>5</v>
      </c>
      <c r="B9" s="11" t="s">
        <v>22</v>
      </c>
      <c r="C9" s="12" t="s">
        <v>23</v>
      </c>
      <c r="D9" s="8" t="s">
        <v>11</v>
      </c>
      <c r="E9" s="9">
        <v>1</v>
      </c>
    </row>
    <row r="10" spans="1:5" x14ac:dyDescent="0.4">
      <c r="A10" s="10" t="s">
        <v>5</v>
      </c>
      <c r="B10" s="11" t="s">
        <v>24</v>
      </c>
      <c r="C10" s="12" t="s">
        <v>25</v>
      </c>
      <c r="D10" s="8" t="s">
        <v>11</v>
      </c>
      <c r="E10" s="9">
        <f>7.7*0.3*0.2</f>
        <v>0.46200000000000002</v>
      </c>
    </row>
    <row r="11" spans="1:5" x14ac:dyDescent="0.4">
      <c r="A11" s="5" t="s">
        <v>9</v>
      </c>
      <c r="B11" s="6"/>
      <c r="C11" s="13" t="s">
        <v>26</v>
      </c>
      <c r="D11" s="8"/>
      <c r="E11" s="9"/>
    </row>
    <row r="12" spans="1:5" x14ac:dyDescent="0.4">
      <c r="A12" s="10" t="s">
        <v>9</v>
      </c>
      <c r="B12" s="11" t="s">
        <v>5</v>
      </c>
      <c r="C12" s="12" t="s">
        <v>27</v>
      </c>
      <c r="D12" s="8" t="s">
        <v>11</v>
      </c>
      <c r="E12" s="14">
        <f>4*0.8*0.8*1</f>
        <v>2.5600000000000005</v>
      </c>
    </row>
    <row r="13" spans="1:5" x14ac:dyDescent="0.4">
      <c r="A13" s="10" t="s">
        <v>9</v>
      </c>
      <c r="B13" s="11" t="s">
        <v>9</v>
      </c>
      <c r="C13" s="12" t="s">
        <v>28</v>
      </c>
      <c r="D13" s="8" t="s">
        <v>29</v>
      </c>
      <c r="E13" s="14">
        <f>2.3+3.1</f>
        <v>5.4</v>
      </c>
    </row>
    <row r="14" spans="1:5" x14ac:dyDescent="0.4">
      <c r="A14" s="10" t="s">
        <v>9</v>
      </c>
      <c r="B14" s="11" t="s">
        <v>12</v>
      </c>
      <c r="C14" s="12" t="s">
        <v>30</v>
      </c>
      <c r="D14" s="8" t="s">
        <v>11</v>
      </c>
      <c r="E14" s="14">
        <f>+(2.3*2+3.1)*0.2*0.3</f>
        <v>0.46199999999999997</v>
      </c>
    </row>
    <row r="15" spans="1:5" x14ac:dyDescent="0.4">
      <c r="A15" s="5" t="s">
        <v>12</v>
      </c>
      <c r="B15" s="6"/>
      <c r="C15" s="13" t="s">
        <v>31</v>
      </c>
      <c r="D15" s="8"/>
      <c r="E15" s="9"/>
    </row>
    <row r="16" spans="1:5" x14ac:dyDescent="0.4">
      <c r="A16" s="10" t="s">
        <v>12</v>
      </c>
      <c r="B16" s="11" t="s">
        <v>5</v>
      </c>
      <c r="C16" s="12" t="s">
        <v>32</v>
      </c>
      <c r="D16" s="8" t="s">
        <v>29</v>
      </c>
      <c r="E16" s="14">
        <f>2.3*3.1</f>
        <v>7.13</v>
      </c>
    </row>
    <row r="17" spans="1:5" x14ac:dyDescent="0.4">
      <c r="A17" s="10" t="s">
        <v>12</v>
      </c>
      <c r="B17" s="11" t="s">
        <v>9</v>
      </c>
      <c r="C17" s="12" t="s">
        <v>33</v>
      </c>
      <c r="D17" s="8" t="s">
        <v>29</v>
      </c>
      <c r="E17" s="14">
        <f t="shared" ref="E17:E18" si="0">2.3*3.1</f>
        <v>7.13</v>
      </c>
    </row>
    <row r="18" spans="1:5" x14ac:dyDescent="0.4">
      <c r="A18" s="10" t="s">
        <v>12</v>
      </c>
      <c r="B18" s="11" t="s">
        <v>12</v>
      </c>
      <c r="C18" s="12" t="s">
        <v>34</v>
      </c>
      <c r="D18" s="8" t="s">
        <v>29</v>
      </c>
      <c r="E18" s="14">
        <f t="shared" si="0"/>
        <v>7.13</v>
      </c>
    </row>
    <row r="19" spans="1:5" x14ac:dyDescent="0.4">
      <c r="A19" s="5" t="s">
        <v>14</v>
      </c>
      <c r="B19" s="6"/>
      <c r="C19" s="13" t="s">
        <v>35</v>
      </c>
      <c r="D19" s="8"/>
      <c r="E19" s="9"/>
    </row>
    <row r="20" spans="1:5" x14ac:dyDescent="0.4">
      <c r="A20" s="10" t="s">
        <v>14</v>
      </c>
      <c r="B20" s="11" t="s">
        <v>36</v>
      </c>
      <c r="C20" s="15" t="s">
        <v>37</v>
      </c>
      <c r="D20" s="8"/>
      <c r="E20" s="14"/>
    </row>
    <row r="21" spans="1:5" x14ac:dyDescent="0.4">
      <c r="A21" s="10" t="s">
        <v>14</v>
      </c>
      <c r="B21" s="11" t="s">
        <v>5</v>
      </c>
      <c r="C21" s="12" t="s">
        <v>38</v>
      </c>
      <c r="D21" s="8" t="s">
        <v>29</v>
      </c>
      <c r="E21" s="14">
        <v>27</v>
      </c>
    </row>
    <row r="22" spans="1:5" x14ac:dyDescent="0.4">
      <c r="A22" s="10" t="s">
        <v>14</v>
      </c>
      <c r="B22" s="11" t="s">
        <v>39</v>
      </c>
      <c r="C22" s="15" t="s">
        <v>40</v>
      </c>
      <c r="D22" s="8"/>
      <c r="E22" s="14"/>
    </row>
    <row r="23" spans="1:5" x14ac:dyDescent="0.4">
      <c r="A23" s="10" t="s">
        <v>14</v>
      </c>
      <c r="B23" s="11" t="s">
        <v>9</v>
      </c>
      <c r="C23" s="12" t="s">
        <v>41</v>
      </c>
      <c r="D23" s="8" t="s">
        <v>29</v>
      </c>
      <c r="E23" s="14">
        <v>27</v>
      </c>
    </row>
    <row r="24" spans="1:5" x14ac:dyDescent="0.4">
      <c r="A24" s="10" t="s">
        <v>14</v>
      </c>
      <c r="B24" s="11" t="s">
        <v>12</v>
      </c>
      <c r="C24" s="12" t="s">
        <v>42</v>
      </c>
      <c r="D24" s="8" t="s">
        <v>29</v>
      </c>
      <c r="E24" s="14">
        <v>27</v>
      </c>
    </row>
    <row r="25" spans="1:5" x14ac:dyDescent="0.4">
      <c r="A25" s="10" t="s">
        <v>14</v>
      </c>
      <c r="B25" s="11" t="s">
        <v>14</v>
      </c>
      <c r="C25" s="12" t="s">
        <v>43</v>
      </c>
      <c r="D25" s="8" t="s">
        <v>29</v>
      </c>
      <c r="E25" s="14">
        <v>27</v>
      </c>
    </row>
    <row r="26" spans="1:5" x14ac:dyDescent="0.4">
      <c r="A26" s="10" t="s">
        <v>14</v>
      </c>
      <c r="B26" s="11" t="s">
        <v>17</v>
      </c>
      <c r="C26" s="12" t="s">
        <v>44</v>
      </c>
      <c r="D26" s="8" t="s">
        <v>29</v>
      </c>
      <c r="E26" s="14">
        <v>27</v>
      </c>
    </row>
    <row r="27" spans="1:5" x14ac:dyDescent="0.4">
      <c r="A27" s="10" t="s">
        <v>14</v>
      </c>
      <c r="B27" s="11" t="s">
        <v>20</v>
      </c>
      <c r="C27" s="12" t="s">
        <v>45</v>
      </c>
      <c r="D27" s="8" t="s">
        <v>29</v>
      </c>
      <c r="E27" s="14">
        <v>27</v>
      </c>
    </row>
    <row r="28" spans="1:5" x14ac:dyDescent="0.4">
      <c r="A28" s="10"/>
      <c r="B28" s="11"/>
      <c r="C28" s="12" t="s">
        <v>46</v>
      </c>
      <c r="D28" s="8" t="s">
        <v>29</v>
      </c>
      <c r="E28" s="14">
        <f>7.7*0.6</f>
        <v>4.62</v>
      </c>
    </row>
    <row r="29" spans="1:5" x14ac:dyDescent="0.4">
      <c r="A29" s="10"/>
      <c r="B29" s="11"/>
      <c r="C29" s="12" t="s">
        <v>47</v>
      </c>
      <c r="D29" s="8" t="s">
        <v>29</v>
      </c>
      <c r="E29" s="14">
        <f>0.8*3*2</f>
        <v>4.8000000000000007</v>
      </c>
    </row>
    <row r="30" spans="1:5" x14ac:dyDescent="0.4">
      <c r="A30" s="10" t="s">
        <v>14</v>
      </c>
      <c r="B30" s="11" t="s">
        <v>22</v>
      </c>
      <c r="C30" s="12" t="s">
        <v>48</v>
      </c>
      <c r="D30" s="8" t="s">
        <v>29</v>
      </c>
      <c r="E30" s="14">
        <v>27</v>
      </c>
    </row>
    <row r="31" spans="1:5" x14ac:dyDescent="0.4">
      <c r="A31" s="10" t="s">
        <v>14</v>
      </c>
      <c r="B31" s="11" t="s">
        <v>24</v>
      </c>
      <c r="C31" s="12" t="s">
        <v>49</v>
      </c>
      <c r="D31" s="8" t="s">
        <v>29</v>
      </c>
      <c r="E31" s="14">
        <v>27</v>
      </c>
    </row>
    <row r="32" spans="1:5" x14ac:dyDescent="0.4">
      <c r="A32" s="10" t="s">
        <v>14</v>
      </c>
      <c r="B32" s="11" t="s">
        <v>50</v>
      </c>
      <c r="C32" s="15" t="s">
        <v>51</v>
      </c>
      <c r="D32" s="8"/>
      <c r="E32" s="14"/>
    </row>
    <row r="33" spans="1:5" x14ac:dyDescent="0.4">
      <c r="A33" s="10" t="s">
        <v>14</v>
      </c>
      <c r="B33" s="11" t="s">
        <v>20</v>
      </c>
      <c r="C33" s="12" t="s">
        <v>52</v>
      </c>
      <c r="D33" s="8" t="s">
        <v>29</v>
      </c>
      <c r="E33" s="14">
        <v>22</v>
      </c>
    </row>
    <row r="34" spans="1:5" x14ac:dyDescent="0.4">
      <c r="A34" s="10" t="s">
        <v>14</v>
      </c>
      <c r="B34" s="11" t="s">
        <v>22</v>
      </c>
      <c r="C34" s="12" t="s">
        <v>53</v>
      </c>
      <c r="D34" s="8" t="s">
        <v>29</v>
      </c>
      <c r="E34" s="14">
        <v>22</v>
      </c>
    </row>
    <row r="35" spans="1:5" x14ac:dyDescent="0.4">
      <c r="A35" s="10" t="s">
        <v>14</v>
      </c>
      <c r="B35" s="11" t="s">
        <v>54</v>
      </c>
      <c r="C35" s="15" t="s">
        <v>55</v>
      </c>
      <c r="D35" s="8"/>
      <c r="E35" s="14"/>
    </row>
    <row r="36" spans="1:5" x14ac:dyDescent="0.4">
      <c r="A36" s="10" t="s">
        <v>14</v>
      </c>
      <c r="B36" s="11" t="s">
        <v>24</v>
      </c>
      <c r="C36" s="12" t="s">
        <v>56</v>
      </c>
      <c r="D36" s="8" t="s">
        <v>29</v>
      </c>
      <c r="E36" s="14">
        <v>7</v>
      </c>
    </row>
    <row r="37" spans="1:5" x14ac:dyDescent="0.4">
      <c r="A37" s="10" t="s">
        <v>14</v>
      </c>
      <c r="B37" s="11" t="s">
        <v>57</v>
      </c>
      <c r="C37" s="12" t="s">
        <v>53</v>
      </c>
      <c r="D37" s="8" t="s">
        <v>29</v>
      </c>
      <c r="E37" s="14">
        <v>7</v>
      </c>
    </row>
    <row r="38" spans="1:5" x14ac:dyDescent="0.4">
      <c r="A38" s="5" t="s">
        <v>17</v>
      </c>
      <c r="B38" s="6"/>
      <c r="C38" s="13" t="s">
        <v>58</v>
      </c>
      <c r="D38" s="8"/>
      <c r="E38" s="9"/>
    </row>
    <row r="39" spans="1:5" x14ac:dyDescent="0.4">
      <c r="A39" s="10" t="s">
        <v>17</v>
      </c>
      <c r="B39" s="11" t="s">
        <v>59</v>
      </c>
      <c r="C39" s="15" t="s">
        <v>37</v>
      </c>
      <c r="D39" s="8"/>
      <c r="E39" s="14"/>
    </row>
    <row r="40" spans="1:5" x14ac:dyDescent="0.4">
      <c r="A40" s="10" t="s">
        <v>17</v>
      </c>
      <c r="B40" s="11" t="s">
        <v>5</v>
      </c>
      <c r="C40" s="12" t="s">
        <v>60</v>
      </c>
      <c r="D40" s="8" t="s">
        <v>16</v>
      </c>
      <c r="E40" s="14">
        <f>6*2.3</f>
        <v>13.799999999999999</v>
      </c>
    </row>
    <row r="41" spans="1:5" x14ac:dyDescent="0.4">
      <c r="A41" s="10" t="s">
        <v>17</v>
      </c>
      <c r="B41" s="11" t="s">
        <v>61</v>
      </c>
      <c r="C41" s="15" t="s">
        <v>62</v>
      </c>
      <c r="D41" s="8"/>
      <c r="E41" s="14"/>
    </row>
    <row r="42" spans="1:5" x14ac:dyDescent="0.4">
      <c r="A42" s="10" t="s">
        <v>17</v>
      </c>
      <c r="B42" s="11" t="s">
        <v>9</v>
      </c>
      <c r="C42" s="12" t="s">
        <v>41</v>
      </c>
      <c r="D42" s="8" t="s">
        <v>29</v>
      </c>
      <c r="E42" s="14">
        <v>7</v>
      </c>
    </row>
    <row r="43" spans="1:5" x14ac:dyDescent="0.4">
      <c r="A43" s="10" t="s">
        <v>17</v>
      </c>
      <c r="B43" s="11" t="s">
        <v>12</v>
      </c>
      <c r="C43" s="12" t="s">
        <v>42</v>
      </c>
      <c r="D43" s="8" t="s">
        <v>29</v>
      </c>
      <c r="E43" s="14">
        <v>7</v>
      </c>
    </row>
    <row r="44" spans="1:5" x14ac:dyDescent="0.4">
      <c r="A44" s="10" t="s">
        <v>17</v>
      </c>
      <c r="B44" s="11" t="s">
        <v>14</v>
      </c>
      <c r="C44" s="12" t="s">
        <v>43</v>
      </c>
      <c r="D44" s="8" t="s">
        <v>29</v>
      </c>
      <c r="E44" s="14">
        <v>7</v>
      </c>
    </row>
    <row r="45" spans="1:5" x14ac:dyDescent="0.4">
      <c r="A45" s="10" t="s">
        <v>17</v>
      </c>
      <c r="B45" s="11" t="s">
        <v>17</v>
      </c>
      <c r="C45" s="12" t="s">
        <v>44</v>
      </c>
      <c r="D45" s="8" t="s">
        <v>29</v>
      </c>
      <c r="E45" s="14">
        <v>7</v>
      </c>
    </row>
    <row r="46" spans="1:5" x14ac:dyDescent="0.4">
      <c r="A46" s="10" t="s">
        <v>17</v>
      </c>
      <c r="B46" s="11" t="s">
        <v>20</v>
      </c>
      <c r="C46" s="12" t="s">
        <v>45</v>
      </c>
      <c r="D46" s="8" t="s">
        <v>29</v>
      </c>
      <c r="E46" s="14">
        <v>7</v>
      </c>
    </row>
    <row r="47" spans="1:5" x14ac:dyDescent="0.4">
      <c r="A47" s="10" t="s">
        <v>17</v>
      </c>
      <c r="B47" s="11" t="s">
        <v>22</v>
      </c>
      <c r="C47" s="12" t="s">
        <v>48</v>
      </c>
      <c r="D47" s="8" t="s">
        <v>29</v>
      </c>
      <c r="E47" s="14">
        <v>7</v>
      </c>
    </row>
    <row r="48" spans="1:5" x14ac:dyDescent="0.4">
      <c r="A48" s="10" t="s">
        <v>17</v>
      </c>
      <c r="B48" s="11" t="s">
        <v>24</v>
      </c>
      <c r="C48" s="12" t="s">
        <v>63</v>
      </c>
      <c r="D48" s="8" t="s">
        <v>29</v>
      </c>
      <c r="E48" s="14">
        <v>7</v>
      </c>
    </row>
    <row r="49" spans="1:5" x14ac:dyDescent="0.4">
      <c r="A49" s="5" t="s">
        <v>20</v>
      </c>
      <c r="B49" s="6"/>
      <c r="C49" s="13" t="s">
        <v>64</v>
      </c>
      <c r="D49" s="8"/>
      <c r="E49" s="9"/>
    </row>
    <row r="50" spans="1:5" x14ac:dyDescent="0.4">
      <c r="A50" s="10" t="s">
        <v>20</v>
      </c>
      <c r="B50" s="11" t="s">
        <v>5</v>
      </c>
      <c r="C50" s="12" t="s">
        <v>65</v>
      </c>
      <c r="D50" s="8" t="s">
        <v>19</v>
      </c>
      <c r="E50" s="14">
        <v>1</v>
      </c>
    </row>
    <row r="51" spans="1:5" x14ac:dyDescent="0.4">
      <c r="A51" s="10" t="s">
        <v>20</v>
      </c>
      <c r="B51" s="11" t="s">
        <v>9</v>
      </c>
      <c r="C51" s="12" t="s">
        <v>66</v>
      </c>
      <c r="D51" s="8" t="s">
        <v>19</v>
      </c>
      <c r="E51" s="14">
        <v>1</v>
      </c>
    </row>
    <row r="52" spans="1:5" x14ac:dyDescent="0.4">
      <c r="A52" s="10" t="s">
        <v>20</v>
      </c>
      <c r="B52" s="11" t="s">
        <v>12</v>
      </c>
      <c r="C52" s="12" t="s">
        <v>67</v>
      </c>
      <c r="D52" s="8" t="s">
        <v>19</v>
      </c>
      <c r="E52" s="14">
        <v>1</v>
      </c>
    </row>
    <row r="53" spans="1:5" x14ac:dyDescent="0.4">
      <c r="A53" s="5" t="s">
        <v>22</v>
      </c>
      <c r="B53" s="6"/>
      <c r="C53" s="13" t="s">
        <v>68</v>
      </c>
      <c r="D53" s="8"/>
      <c r="E53" s="9"/>
    </row>
    <row r="54" spans="1:5" x14ac:dyDescent="0.4">
      <c r="A54" s="10" t="s">
        <v>22</v>
      </c>
      <c r="B54" s="11" t="s">
        <v>5</v>
      </c>
      <c r="C54" s="12" t="s">
        <v>69</v>
      </c>
      <c r="D54" s="8" t="s">
        <v>8</v>
      </c>
      <c r="E54" s="14">
        <v>1</v>
      </c>
    </row>
    <row r="55" spans="1:5" x14ac:dyDescent="0.4">
      <c r="A55" s="10" t="s">
        <v>22</v>
      </c>
      <c r="B55" s="11" t="s">
        <v>9</v>
      </c>
      <c r="C55" s="12" t="s">
        <v>70</v>
      </c>
      <c r="D55" s="8" t="s">
        <v>8</v>
      </c>
      <c r="E55" s="14">
        <v>1</v>
      </c>
    </row>
    <row r="56" spans="1:5" x14ac:dyDescent="0.4">
      <c r="A56" s="10" t="s">
        <v>22</v>
      </c>
      <c r="B56" s="11" t="s">
        <v>12</v>
      </c>
      <c r="C56" s="12" t="s">
        <v>71</v>
      </c>
      <c r="D56" s="8" t="s">
        <v>8</v>
      </c>
      <c r="E56" s="14">
        <v>1</v>
      </c>
    </row>
    <row r="57" spans="1:5" x14ac:dyDescent="0.4">
      <c r="A57" s="5" t="s">
        <v>24</v>
      </c>
      <c r="B57" s="6"/>
      <c r="C57" s="13" t="s">
        <v>72</v>
      </c>
      <c r="D57" s="8"/>
      <c r="E57" s="9"/>
    </row>
    <row r="58" spans="1:5" x14ac:dyDescent="0.4">
      <c r="A58" s="10" t="s">
        <v>24</v>
      </c>
      <c r="B58" s="11" t="s">
        <v>5</v>
      </c>
      <c r="C58" s="12" t="s">
        <v>73</v>
      </c>
      <c r="D58" s="8" t="s">
        <v>8</v>
      </c>
      <c r="E58" s="14">
        <v>1</v>
      </c>
    </row>
    <row r="59" spans="1:5" x14ac:dyDescent="0.4">
      <c r="A59" s="10" t="s">
        <v>24</v>
      </c>
      <c r="B59" s="11" t="s">
        <v>9</v>
      </c>
      <c r="C59" s="12" t="s">
        <v>74</v>
      </c>
      <c r="D59" s="8" t="s">
        <v>8</v>
      </c>
      <c r="E59" s="14">
        <v>3</v>
      </c>
    </row>
    <row r="60" spans="1:5" x14ac:dyDescent="0.4">
      <c r="A60" s="10" t="s">
        <v>24</v>
      </c>
      <c r="B60" s="11" t="s">
        <v>12</v>
      </c>
      <c r="C60" s="12" t="s">
        <v>75</v>
      </c>
      <c r="D60" s="8" t="s">
        <v>8</v>
      </c>
      <c r="E60" s="14">
        <v>1</v>
      </c>
    </row>
    <row r="61" spans="1:5" x14ac:dyDescent="0.4">
      <c r="A61" s="10" t="s">
        <v>24</v>
      </c>
      <c r="B61" s="11" t="s">
        <v>14</v>
      </c>
      <c r="C61" s="12" t="s">
        <v>76</v>
      </c>
      <c r="D61" s="8" t="s">
        <v>8</v>
      </c>
      <c r="E61" s="14">
        <v>1</v>
      </c>
    </row>
    <row r="62" spans="1:5" x14ac:dyDescent="0.4">
      <c r="A62" s="10" t="s">
        <v>24</v>
      </c>
      <c r="B62" s="11" t="s">
        <v>17</v>
      </c>
      <c r="C62" s="12" t="s">
        <v>77</v>
      </c>
      <c r="D62" s="8" t="s">
        <v>8</v>
      </c>
      <c r="E62" s="14">
        <v>1</v>
      </c>
    </row>
    <row r="63" spans="1:5" x14ac:dyDescent="0.4">
      <c r="A63" s="5" t="s">
        <v>57</v>
      </c>
      <c r="B63" s="6"/>
      <c r="C63" s="13" t="s">
        <v>78</v>
      </c>
      <c r="D63" s="8"/>
      <c r="E63" s="9"/>
    </row>
    <row r="64" spans="1:5" x14ac:dyDescent="0.4">
      <c r="A64" s="10" t="s">
        <v>57</v>
      </c>
      <c r="B64" s="11" t="s">
        <v>5</v>
      </c>
      <c r="C64" s="12" t="s">
        <v>79</v>
      </c>
      <c r="D64" s="8" t="s">
        <v>16</v>
      </c>
      <c r="E64" s="14">
        <v>2.2999999999999998</v>
      </c>
    </row>
    <row r="65" spans="1:5" x14ac:dyDescent="0.4">
      <c r="A65" s="10" t="s">
        <v>57</v>
      </c>
      <c r="B65" s="11" t="s">
        <v>9</v>
      </c>
      <c r="C65" s="12" t="s">
        <v>80</v>
      </c>
      <c r="D65" s="8" t="s">
        <v>16</v>
      </c>
      <c r="E65" s="14">
        <v>3</v>
      </c>
    </row>
    <row r="66" spans="1:5" x14ac:dyDescent="0.4">
      <c r="A66" s="10" t="s">
        <v>57</v>
      </c>
      <c r="B66" s="11" t="s">
        <v>12</v>
      </c>
      <c r="C66" s="12" t="s">
        <v>81</v>
      </c>
      <c r="D66" s="8" t="s">
        <v>16</v>
      </c>
      <c r="E66" s="14">
        <v>2</v>
      </c>
    </row>
    <row r="67" spans="1:5" x14ac:dyDescent="0.4">
      <c r="A67" s="10" t="s">
        <v>57</v>
      </c>
      <c r="B67" s="11" t="s">
        <v>14</v>
      </c>
      <c r="C67" s="12" t="s">
        <v>82</v>
      </c>
      <c r="D67" s="8" t="s">
        <v>16</v>
      </c>
      <c r="E67" s="14">
        <f>2*5.4</f>
        <v>10.8</v>
      </c>
    </row>
    <row r="68" spans="1:5" x14ac:dyDescent="0.4">
      <c r="A68" s="5" t="s">
        <v>83</v>
      </c>
      <c r="B68" s="6"/>
      <c r="C68" s="13" t="s">
        <v>84</v>
      </c>
      <c r="D68" s="8"/>
      <c r="E68" s="9"/>
    </row>
    <row r="69" spans="1:5" x14ac:dyDescent="0.4">
      <c r="A69" s="10" t="s">
        <v>83</v>
      </c>
      <c r="B69" s="11" t="s">
        <v>5</v>
      </c>
      <c r="C69" s="12" t="s">
        <v>85</v>
      </c>
      <c r="D69" s="8" t="s">
        <v>16</v>
      </c>
      <c r="E69" s="14">
        <f>1.8+3.1+2.3</f>
        <v>7.2</v>
      </c>
    </row>
    <row r="70" spans="1:5" x14ac:dyDescent="0.4">
      <c r="A70" s="10" t="s">
        <v>83</v>
      </c>
      <c r="B70" s="11" t="s">
        <v>9</v>
      </c>
      <c r="C70" s="12" t="s">
        <v>86</v>
      </c>
      <c r="D70" s="8" t="s">
        <v>16</v>
      </c>
      <c r="E70" s="14">
        <v>5.2</v>
      </c>
    </row>
    <row r="71" spans="1:5" x14ac:dyDescent="0.4">
      <c r="A71" s="10" t="s">
        <v>83</v>
      </c>
      <c r="B71" s="11" t="s">
        <v>12</v>
      </c>
      <c r="C71" s="12" t="s">
        <v>87</v>
      </c>
      <c r="D71" s="8" t="s">
        <v>16</v>
      </c>
      <c r="E71" s="14">
        <f>1.8+3.1+2.3</f>
        <v>7.2</v>
      </c>
    </row>
    <row r="72" spans="1:5" x14ac:dyDescent="0.4">
      <c r="A72" s="5" t="s">
        <v>88</v>
      </c>
      <c r="B72" s="6"/>
      <c r="C72" s="13" t="s">
        <v>89</v>
      </c>
      <c r="D72" s="8"/>
      <c r="E72" s="9"/>
    </row>
    <row r="73" spans="1:5" x14ac:dyDescent="0.4">
      <c r="A73" s="10" t="s">
        <v>88</v>
      </c>
      <c r="B73" s="11" t="s">
        <v>5</v>
      </c>
      <c r="C73" s="12" t="s">
        <v>90</v>
      </c>
      <c r="D73" s="8" t="s">
        <v>19</v>
      </c>
      <c r="E73" s="14">
        <v>1</v>
      </c>
    </row>
    <row r="74" spans="1:5" x14ac:dyDescent="0.4">
      <c r="A74" s="10" t="s">
        <v>88</v>
      </c>
      <c r="B74" s="11" t="s">
        <v>9</v>
      </c>
      <c r="C74" s="12" t="s">
        <v>91</v>
      </c>
      <c r="D74" s="8" t="s">
        <v>19</v>
      </c>
      <c r="E74" s="14">
        <v>1</v>
      </c>
    </row>
    <row r="75" spans="1:5" x14ac:dyDescent="0.4">
      <c r="A75" s="16" t="s">
        <v>88</v>
      </c>
      <c r="B75" s="17" t="s">
        <v>12</v>
      </c>
      <c r="C75" s="18" t="s">
        <v>92</v>
      </c>
      <c r="D75" s="19" t="s">
        <v>19</v>
      </c>
      <c r="E75" s="20">
        <v>1</v>
      </c>
    </row>
    <row r="76" spans="1:5" x14ac:dyDescent="0.4">
      <c r="A76" s="21"/>
      <c r="B76" s="21"/>
      <c r="C76" s="22"/>
      <c r="D76" s="22"/>
      <c r="E76" s="22"/>
    </row>
    <row r="77" spans="1:5" x14ac:dyDescent="0.4">
      <c r="A77" s="21"/>
      <c r="B77" s="21"/>
      <c r="C77" s="22"/>
      <c r="D77" s="22"/>
      <c r="E77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A. Marseillan</cp:lastModifiedBy>
  <dcterms:created xsi:type="dcterms:W3CDTF">2026-07-17T16:13:22Z</dcterms:created>
  <dcterms:modified xsi:type="dcterms:W3CDTF">2026-07-17T16:19:21Z</dcterms:modified>
</cp:coreProperties>
</file>