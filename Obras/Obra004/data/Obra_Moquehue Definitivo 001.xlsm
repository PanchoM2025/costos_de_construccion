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ropbox\Claude\Costos_de_construccion\Obras\Obra004\data\"/>
    </mc:Choice>
  </mc:AlternateContent>
  <xr:revisionPtr revIDLastSave="0" documentId="13_ncr:1_{BF10CBF4-4F9C-4DDC-AF61-C2AA12878556}" xr6:coauthVersionLast="47" xr6:coauthVersionMax="47" xr10:uidLastSave="{00000000-0000-0000-0000-000000000000}"/>
  <bookViews>
    <workbookView xWindow="-103" yWindow="-103" windowWidth="21600" windowHeight="13749" activeTab="1" xr2:uid="{3E520E5F-98DD-4106-9CA8-FCD3D126EDCB}"/>
  </bookViews>
  <sheets>
    <sheet name="Tareas" sheetId="1" r:id="rId1"/>
    <sheet name="Insumos" sheetId="35" r:id="rId2"/>
    <sheet name="TDiscriminadas" sheetId="36" r:id="rId3"/>
    <sheet name="Materiales" sheetId="37" r:id="rId4"/>
    <sheet name="MdeODetallado" sheetId="3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0" i="38" l="1"/>
  <c r="K50" i="38"/>
  <c r="L48" i="38"/>
  <c r="K48" i="38"/>
  <c r="L44" i="38"/>
  <c r="K44" i="38"/>
  <c r="L40" i="38"/>
  <c r="K40" i="38"/>
  <c r="L36" i="38"/>
  <c r="K36" i="38"/>
  <c r="L33" i="38"/>
  <c r="K33" i="38"/>
  <c r="L30" i="38"/>
  <c r="K30" i="38"/>
  <c r="L26" i="38"/>
  <c r="K26" i="38"/>
  <c r="L22" i="38"/>
  <c r="K22" i="38"/>
  <c r="L18" i="38"/>
  <c r="K18" i="38"/>
  <c r="L15" i="38"/>
  <c r="K15" i="38"/>
  <c r="L12" i="38"/>
  <c r="K12" i="38"/>
  <c r="L9" i="38"/>
  <c r="K9" i="38"/>
  <c r="L6" i="38"/>
  <c r="K6" i="38"/>
  <c r="J88" i="36" l="1"/>
  <c r="J86" i="36"/>
  <c r="J80" i="36"/>
  <c r="J75" i="36"/>
  <c r="J69" i="36"/>
  <c r="J60" i="36"/>
  <c r="J51" i="36"/>
  <c r="J45" i="36"/>
  <c r="J40" i="36"/>
  <c r="J34" i="36"/>
  <c r="J25" i="36"/>
  <c r="J16" i="36"/>
  <c r="J11" i="36"/>
  <c r="J6" i="36"/>
  <c r="J60" i="35" l="1"/>
</calcChain>
</file>

<file path=xl/sharedStrings.xml><?xml version="1.0" encoding="utf-8"?>
<sst xmlns="http://schemas.openxmlformats.org/spreadsheetml/2006/main" count="1382" uniqueCount="520">
  <si>
    <t>COD_TAR</t>
  </si>
  <si>
    <t>TAREA</t>
  </si>
  <si>
    <t>Descripción Tarea</t>
  </si>
  <si>
    <t>UNIDAD</t>
  </si>
  <si>
    <t>CANTIDAD</t>
  </si>
  <si>
    <t>0110 - Limpieza superficial.</t>
  </si>
  <si>
    <t>0110S - Subcontrato Limpieza superficial.</t>
  </si>
  <si>
    <t>0121 - Casilla Obrador.</t>
  </si>
  <si>
    <t>0121 - Casilla Oficina.</t>
  </si>
  <si>
    <t>0122 - Casilla Oficina.</t>
  </si>
  <si>
    <t>0130 - Cartel de Obra.</t>
  </si>
  <si>
    <t>0140 - Replanteo.</t>
  </si>
  <si>
    <t>0150 - Valla Provisoria.</t>
  </si>
  <si>
    <t>0160S - Subcontrato Cerco perimetral Olímpico</t>
  </si>
  <si>
    <t>0211S - Subcontrato Demolición mamposterías.</t>
  </si>
  <si>
    <t>0212S - Subcontrato Demolición Entrepisos.</t>
  </si>
  <si>
    <t>0214S - Subcontrato Corte de canaleta en Medianeras.</t>
  </si>
  <si>
    <t>0215 - Demolición o roturas de pisos.</t>
  </si>
  <si>
    <t>0215S - Subcontrato Demolición o roturas de pisos.</t>
  </si>
  <si>
    <t>0230S - Subcontrato Desmonte a máquina.</t>
  </si>
  <si>
    <t>0240S - Subcontrato Relleno, Nivelación y Compactación.</t>
  </si>
  <si>
    <t>0251 - Excavación de Bases.</t>
  </si>
  <si>
    <t>0251S - Subcontrato Excavación de Bases.</t>
  </si>
  <si>
    <t>0252 - Excavación Vigas de encadenado.</t>
  </si>
  <si>
    <t>0252S - Subcontrato Excavación Vigas de encadenado.</t>
  </si>
  <si>
    <t>0253 - Excavación Pozos Romanos.</t>
  </si>
  <si>
    <t>0254S - Subcontrato Excavación Pilotines.</t>
  </si>
  <si>
    <t>0255 - Excavación Cámaras.</t>
  </si>
  <si>
    <t>0255S - Subcontrato Excavación Cámaras.</t>
  </si>
  <si>
    <t>0256 - Excavación Zanjas.</t>
  </si>
  <si>
    <t>0256S - Subcontrato Excavación Zanjas.</t>
  </si>
  <si>
    <t>0257 - Excavación de Sótanos.</t>
  </si>
  <si>
    <t>0257S - Subcontrato Excavación de Sótanos.</t>
  </si>
  <si>
    <t>0261 - Refuerzo estructural con perfilería.</t>
  </si>
  <si>
    <t>0272 - Hormigón de limpieza bajo Bases.</t>
  </si>
  <si>
    <t>0272S - Hormigón de limpieza bajo Bases.</t>
  </si>
  <si>
    <t>0273 - Hormigón de limpieza bajo Vigas de encadenado.</t>
  </si>
  <si>
    <t>0273S - Hormigón de limpieza bajo Vigas de encadenado.</t>
  </si>
  <si>
    <t>0291 - Gestiones Municipales.</t>
  </si>
  <si>
    <t>0311 - Supervisión de Oficina Central.</t>
  </si>
  <si>
    <t>0312 - Dirección de Obras.</t>
  </si>
  <si>
    <t>0331 - Prestación Mano de Obra Oficial Especializado.</t>
  </si>
  <si>
    <t>0332 - Prestación Mano de Obra Oficial.</t>
  </si>
  <si>
    <t>0333 - Prestación Mano de Obra 1/2 Oficial.</t>
  </si>
  <si>
    <t>0334 - Prestación Mano de Obra Ayudante.</t>
  </si>
  <si>
    <t>0410S - Subcontrato Limpieza final.</t>
  </si>
  <si>
    <t>1111 - Bases Centradas.</t>
  </si>
  <si>
    <t>1111E - Bases Centradas.</t>
  </si>
  <si>
    <t>1111S - Bases Centradas.</t>
  </si>
  <si>
    <t>1112 - Bases Medianeras.</t>
  </si>
  <si>
    <t>1112E - Bases Medianeras.</t>
  </si>
  <si>
    <t>1112S - Bases Medianeras.</t>
  </si>
  <si>
    <t>1113 - Bases Esquineras.</t>
  </si>
  <si>
    <t>1113E - Bases Esquineras.</t>
  </si>
  <si>
    <t>1113S - Bases Esquineras.</t>
  </si>
  <si>
    <t>1120 - Tensores.</t>
  </si>
  <si>
    <t>1120E - Tensores.</t>
  </si>
  <si>
    <t>1120S - Tensores.</t>
  </si>
  <si>
    <t>1132 - Viga Portamuros.</t>
  </si>
  <si>
    <t>1132E - Viga Portamuros.</t>
  </si>
  <si>
    <t>1132S - Viga Portamuros.</t>
  </si>
  <si>
    <t>1132X - Viga Portamuros.</t>
  </si>
  <si>
    <t>1150 - Pilotes y/o Pilotines.</t>
  </si>
  <si>
    <t>1150S - Pilotes y/o Pilotines.</t>
  </si>
  <si>
    <t>1160E - Subcontrato Platea de 0,12m de espesor c/MAPEFIBRE</t>
  </si>
  <si>
    <t>1161 - Platea de 0,12m de espesor.</t>
  </si>
  <si>
    <t>1161S - Platea de 0,12m de espesor.</t>
  </si>
  <si>
    <t>1161E - Subcontrato Platea de 0,12m de espesor.</t>
  </si>
  <si>
    <t>1162 - Platea de 0,15m de espesor.</t>
  </si>
  <si>
    <t>1162S - Platea de 0,15m de espesor.</t>
  </si>
  <si>
    <t>1162E - Subcontrato Platea de 0,15m de espesor.</t>
  </si>
  <si>
    <t>1163 - Platea de 0,20m de espesor.</t>
  </si>
  <si>
    <t>1163S - Platea de 0,20m de espesor.</t>
  </si>
  <si>
    <t>1163E - Platea de 0,20m de espesor.</t>
  </si>
  <si>
    <t>1171 - Pocetes con Hormigón Ciclópeo.</t>
  </si>
  <si>
    <t>1172 - Hormigón de limpieza bajo Bases.</t>
  </si>
  <si>
    <t>1172S - Hormigón de limpieza bajo Bases.</t>
  </si>
  <si>
    <t>1173 - Hormigón de limpieza bajo Vigas encadenado.</t>
  </si>
  <si>
    <t>1173S - Hormigón de limpieza bajo Vigas encadenado.</t>
  </si>
  <si>
    <t>1174 - Relleno de cimientos.</t>
  </si>
  <si>
    <t>1174S - Relleno de cimientos.</t>
  </si>
  <si>
    <t>1210 - Tronco de Columnas.</t>
  </si>
  <si>
    <t>1210E - Tronco de Columnas.</t>
  </si>
  <si>
    <t>1210S - Tronco de Columnas.</t>
  </si>
  <si>
    <t>1221 - Columnas normales.</t>
  </si>
  <si>
    <t>1221E - Columnas normales.</t>
  </si>
  <si>
    <t>1221S - Columnas normales.</t>
  </si>
  <si>
    <t>1221X - Columnas normales.</t>
  </si>
  <si>
    <t>1222 - Columnas a la vista.</t>
  </si>
  <si>
    <t>1222E - Columnas a la vista.</t>
  </si>
  <si>
    <t>1222S - Columnas a la vista.</t>
  </si>
  <si>
    <t>1222X - Columnas a la vista.</t>
  </si>
  <si>
    <t>1223 - Columnas independientes.</t>
  </si>
  <si>
    <t>1223S - Columnas independientes.</t>
  </si>
  <si>
    <t>1223X - Columnas independientes.</t>
  </si>
  <si>
    <t>1231 - Vigas normales.</t>
  </si>
  <si>
    <t>1231E - Vigas normales.</t>
  </si>
  <si>
    <t>1231S - Vigas normales.</t>
  </si>
  <si>
    <t>1231X - Vigas normales.</t>
  </si>
  <si>
    <t>1232 - Vigas a la vista.</t>
  </si>
  <si>
    <t>1232E - Vigas a la vista.</t>
  </si>
  <si>
    <t>1232S - Vigas a la vista.</t>
  </si>
  <si>
    <t>1232X - Vigas a la vista.</t>
  </si>
  <si>
    <t>1233X - Vigas a la vista independientes</t>
  </si>
  <si>
    <t>1241 - Losas macizas normales.</t>
  </si>
  <si>
    <t>1241E - Losas macizas normales.</t>
  </si>
  <si>
    <t>1241S - Losas macizas normales.</t>
  </si>
  <si>
    <t>1241X - Losas macizas normales.</t>
  </si>
  <si>
    <t>1242 - Losas macizas a la vista.</t>
  </si>
  <si>
    <t>1242E - Losas macizas a la vista.</t>
  </si>
  <si>
    <t>1242S - Losas macizas a la vista.</t>
  </si>
  <si>
    <t>1242X - Losas macizas a la vista.</t>
  </si>
  <si>
    <t>1243E - Losas macizas en balcones.</t>
  </si>
  <si>
    <t>1244 - Losas cerámicas.</t>
  </si>
  <si>
    <t>1244E - Losas cerámicas.</t>
  </si>
  <si>
    <t>1244S - Losas cerámicas.</t>
  </si>
  <si>
    <t>1244X - Losas cerámicas.</t>
  </si>
  <si>
    <t>1245X - Losas macizas Sistema Prenova</t>
  </si>
  <si>
    <t>1246X - Losas premoldeadas SHAP 0,60</t>
  </si>
  <si>
    <t>1247X - Losas con Placa Colaborante Steel Deck</t>
  </si>
  <si>
    <t>1248 - Malla s/Losas premoldeadas SHAP 0,60</t>
  </si>
  <si>
    <t>1249 - Hormigon s/losetas premoldeadas SHAP 0,60</t>
  </si>
  <si>
    <t>1250 - Losas premoldeadas SHAP 0,60</t>
  </si>
  <si>
    <t>1321 - Tanques prismáticos de bombeo.</t>
  </si>
  <si>
    <t>1321E - Tanques prismáticos de bombeo.</t>
  </si>
  <si>
    <t>1321S - Tanques prismáticos de bombeo.</t>
  </si>
  <si>
    <t>1321X - Tanques prismáticos de bombeo.</t>
  </si>
  <si>
    <t>1323 - Tanques prismáticos elevados.</t>
  </si>
  <si>
    <t>1323E - Tanques prismáticos elevados.</t>
  </si>
  <si>
    <t>1323S - Tanques prismáticos elevados.</t>
  </si>
  <si>
    <t>1323X - Tanques prismáticos elevados.</t>
  </si>
  <si>
    <t>1331 - Escaleras macizas rectas.</t>
  </si>
  <si>
    <t>1331E - Escaleras macizas rectas.</t>
  </si>
  <si>
    <t>1331S - Escaleras macizas rectas.</t>
  </si>
  <si>
    <t>1342 - Encadenados en paredes y/o Dinteles.</t>
  </si>
  <si>
    <t>1342S - Encadenados en paredes y/o Dinteles.</t>
  </si>
  <si>
    <t>1351 - Tabique de Hormigón Armado 0.15m.</t>
  </si>
  <si>
    <t>1351E - Tabique de Hormigón Armado 0.15m.</t>
  </si>
  <si>
    <t>1352E - Tabique de Hormigón Armado 0.15m en submuración.</t>
  </si>
  <si>
    <t>2110 - Mampostería Ladrillos comunes 0,45m. (submurac.).</t>
  </si>
  <si>
    <t>2110S - Mamposteria Ladrillos comunes 0,45m. (submurac.)</t>
  </si>
  <si>
    <t>2210 - Mampostería de panderete con asfalto  (sotanos)</t>
  </si>
  <si>
    <t>2210S - Mamposteria de panderete con asfalto  (sotanos)</t>
  </si>
  <si>
    <t>2220 - Mampostería Ladrillos comunes 0,30m.  (sotanos)</t>
  </si>
  <si>
    <t>2220S - Mamposteria Ladrillos comunes 0,30m.  (sotanos)</t>
  </si>
  <si>
    <t>2310 - Mampostería Ladrillos comunes 0,45m. (cimientos)</t>
  </si>
  <si>
    <t>2310S - Mamposteria Ladrillos comunes 0,45m.  (cimientos)</t>
  </si>
  <si>
    <t>2320 - Mamposteria ladrillos comunes 0,30m.  (cimientos)</t>
  </si>
  <si>
    <t>2320S - Mamposteria ladrillos comunes 0,30m.  (cimientos)</t>
  </si>
  <si>
    <t>2330 - Capa aisladora horizontal en muros.</t>
  </si>
  <si>
    <t>2330S - Capa aisladora doble en muros.</t>
  </si>
  <si>
    <t>2340 - Capa asfaltica vertical en muro.</t>
  </si>
  <si>
    <t>2340S - Capa asfaltica vertical en muro.</t>
  </si>
  <si>
    <t>2350 - Capa aisladora vertical, de concreto con panderete</t>
  </si>
  <si>
    <t>2350S - Capa aisladora vertical, de concreto con panderete</t>
  </si>
  <si>
    <t>2360 - Relleno de cimientos c/cascotes.</t>
  </si>
  <si>
    <t>2411 - Ladrillos comunes espesor 0,15m. (en elevación)</t>
  </si>
  <si>
    <t>2411S - Ladrillos comunes espesor 0,15m. (en elevación)</t>
  </si>
  <si>
    <t>2412 - Ladrillos comunes espesor 0,30m. (en elevación)</t>
  </si>
  <si>
    <t>2412S - Ladrillos comunes espesor 0,30m. (en elevación)</t>
  </si>
  <si>
    <t>2413 - Ladrillos vista   espesor 0,15m. (en elevación)</t>
  </si>
  <si>
    <t>2413S - Ladrillos vista   espesor 0,15m. (en elevación)</t>
  </si>
  <si>
    <t>2414 - Ladrillos vista   espesor 0,30m. (en elevación)</t>
  </si>
  <si>
    <t>2414S - Ladrillos vista   espesor 0,30m. (en elevación)</t>
  </si>
  <si>
    <t>2415 - Ladrillones macizos.</t>
  </si>
  <si>
    <t>2415S - Ladrillones macizos.</t>
  </si>
  <si>
    <t>2418 - Tabique de panderete con ladrillos comunes.</t>
  </si>
  <si>
    <t>2418S - Tabique de panderete con ladrillos comunes.</t>
  </si>
  <si>
    <t>2421 - Ladrillos huecos cerámicos 08/15/20</t>
  </si>
  <si>
    <t>2421S - Ladrillos huecos cerámicos 08/15/20</t>
  </si>
  <si>
    <t>2422 - Ladrillos huecos cerámicos 12/18/33</t>
  </si>
  <si>
    <t>2422S - Ladrillos huecos cerámicos 12/18/33</t>
  </si>
  <si>
    <t>2423 - Ladrillos huecos cerámicos 18/18/33</t>
  </si>
  <si>
    <t>2423S - Ladrillos huecos cerámicos 18/18/33</t>
  </si>
  <si>
    <t>2424 - Ladrillos huecos cerámicos portantes.</t>
  </si>
  <si>
    <t>2424S - Ladrillos huecos cerámicos portantes.</t>
  </si>
  <si>
    <t>2425 - Bloques   huecos de hormigón 10/20/40</t>
  </si>
  <si>
    <t>2425S - Bloques   huecos de hormigón 10/20/40</t>
  </si>
  <si>
    <t>2426 - Bloques   huecos de hormigón 20/20/40</t>
  </si>
  <si>
    <t>2426S - Bloques   huecos de hormigón 20/20/40</t>
  </si>
  <si>
    <t>2430 - Dinteles de Ladrillo a la vista.</t>
  </si>
  <si>
    <t>2430S - Dinteles de ladrillo a la vista.</t>
  </si>
  <si>
    <t>2511 - Contrapiso s/terreno natural de cascotes esp. 0,12</t>
  </si>
  <si>
    <t>2511S - Contrapiso s/terreno natural de cascotes esp. 0,12</t>
  </si>
  <si>
    <t>2512 - Contrapiso s/terreno natural de H. pobre esp. 0,12</t>
  </si>
  <si>
    <t>2512S - Contrapiso s/terreno natural de H. pobre esp. 0,12</t>
  </si>
  <si>
    <t>2521 - Contrapiso s/losa de cascotes esp. 0,08m.</t>
  </si>
  <si>
    <t>2521S - Contrapiso s/losa de cascotes esp. 0,08m.</t>
  </si>
  <si>
    <t>2522 - Contrapiso s/losa de H. pobre esp. 0,08m.</t>
  </si>
  <si>
    <t>2523 - Contrapiso s/losa de Arcilla  esp. 0,08m.</t>
  </si>
  <si>
    <t>2523S - Contrapiso s/losa de Arcilla  esp. 0,08m.</t>
  </si>
  <si>
    <t>2524 - Relleno de Losas Bajas.</t>
  </si>
  <si>
    <t>2524S - Relleno de Losas Bajas.</t>
  </si>
  <si>
    <t>2531 - Contrapiso s/azotea de cascotes esp. 0,18m.</t>
  </si>
  <si>
    <t>2531S - Contrapiso s/azotea de cascotes esp. 0,18m.</t>
  </si>
  <si>
    <t>2533 - Contrapiso s/azotea de Arcilla  esp. 0,18m.</t>
  </si>
  <si>
    <t>2612 - Toma de juntas de ladrillos macizos   a la vista.</t>
  </si>
  <si>
    <t>2612S - Toma de juntas de ladrillos macizos   a la vista.</t>
  </si>
  <si>
    <t>2613 - Toma de juntas de ladrillos cerámicos a la vista.</t>
  </si>
  <si>
    <t>2613S - Toma de juntas de ladrillos cerámicos a la vista.</t>
  </si>
  <si>
    <t>2615 - Bolseado ladrillos macizos.</t>
  </si>
  <si>
    <t>2615S - Bolseado ladrillos macizos.</t>
  </si>
  <si>
    <t>2616 - Azotado en muros para aplicación de grueso.</t>
  </si>
  <si>
    <t>2616S - Azotado en muros para aplicación de grueso.</t>
  </si>
  <si>
    <t>2617S - Subcontrato Picado de Revoques.</t>
  </si>
  <si>
    <t>2621 - Revoque impermeable vertical alisado.</t>
  </si>
  <si>
    <t>2621S - Revoque impermeable vertical alisado.</t>
  </si>
  <si>
    <t>2622 - Azotado impermeable en muros b/grueso.</t>
  </si>
  <si>
    <t>2622S - Azotado impermeable en muros b/grueso.</t>
  </si>
  <si>
    <t>2623 - Tanques de agua al cucharín.</t>
  </si>
  <si>
    <t>2623S - Tanques de agua al cucharín.</t>
  </si>
  <si>
    <t>2625 - Revoque de cemento hidrófugo bajo bañeras ó ducha.</t>
  </si>
  <si>
    <t>2625S - Revoque de cemento hidrófugo bajo bañeras ó ducha.</t>
  </si>
  <si>
    <t>2631 - Revoque grueso a la cal en muros PB.</t>
  </si>
  <si>
    <t>2631S - Revoque grueso a la cal en muros PB.</t>
  </si>
  <si>
    <t>2632 - Revoque grueso a la cal en muros PA.</t>
  </si>
  <si>
    <t>2632S - Revoque grueso a la cal en muros PA.</t>
  </si>
  <si>
    <t>2634 - Revoque grueso a la cal bajo revestimientos.</t>
  </si>
  <si>
    <t>2634S - Revoque grueso a la cal bajo revestimientos.</t>
  </si>
  <si>
    <t>2635S - Revoque grueso a la cal en cielorrasos.</t>
  </si>
  <si>
    <t>2641 - Revoque Fino a la cal fratazado en muros inter. PB</t>
  </si>
  <si>
    <t>2641S - Revoque Fino a la cal fratazado en muros inter. PB</t>
  </si>
  <si>
    <t>2642 - Revoque Fino a la cal fratazado en muros inter. PA</t>
  </si>
  <si>
    <t>2642S - Revoque Fino a la cal fratazado en muros inter. PA</t>
  </si>
  <si>
    <t>2643 - Revoque Fino a la cal al fieltro en muros inter.</t>
  </si>
  <si>
    <t>2643S - Revoque Fino a la cal al fieltro en muros inter.</t>
  </si>
  <si>
    <t>2644 - Revoque Fino a la cal en cielorrasos.</t>
  </si>
  <si>
    <t>2644S - Revoque Fino a la cal en cielorrasos.</t>
  </si>
  <si>
    <t>2651 - Revoque completo interior a la cal en muros PB.</t>
  </si>
  <si>
    <t>2651S - Revoque completo interior a la cal en muros PB.</t>
  </si>
  <si>
    <t>2652 - Revoque completo interior a la cal en muros PA.</t>
  </si>
  <si>
    <t>2652S - Revoque completo interior a la cal en muros PA.</t>
  </si>
  <si>
    <t>2653 - Revoque completo exterior a la cal en muros PB.</t>
  </si>
  <si>
    <t>2653S - Revoque completo exterior a la cal en muros PB.</t>
  </si>
  <si>
    <t>2654 - Revoque completo exterior a la cal en muros PA.</t>
  </si>
  <si>
    <t>2654S - Revoque completo exterior a la cal en muros PA.</t>
  </si>
  <si>
    <t>2661 - Revoque de frente Salpicado.</t>
  </si>
  <si>
    <t>2662 - Revoque de frente Simil Piedra.</t>
  </si>
  <si>
    <t>2663 - Revoque de frente tipo IGGAM.</t>
  </si>
  <si>
    <t>2663S - Revoque de frente tipo IGGAM.</t>
  </si>
  <si>
    <t>2671 - Cielorraso aplicado completo a la cal.</t>
  </si>
  <si>
    <t>2671S - Subcontrato cielorraso aplicado completo a la cal.</t>
  </si>
  <si>
    <t>2672 - Cielorraso suspendido completo a la cal.</t>
  </si>
  <si>
    <t>2710S - Conducto de ventilación un ambiente.</t>
  </si>
  <si>
    <t>2720 - Conducto de ventilación unificado para baños.</t>
  </si>
  <si>
    <t>2720S - Conducto de ventilación unificado para baños.</t>
  </si>
  <si>
    <t>2730 - Conducto de ventilación unificado para cocinas.</t>
  </si>
  <si>
    <t>2730S - Conducto de ventilación unificado para cocinas.</t>
  </si>
  <si>
    <t>2810 - Ayuda de gremios Instalación Sanitaria y Gas.</t>
  </si>
  <si>
    <t>2820 - Ayuda de gremios Instalación Eléctrica.</t>
  </si>
  <si>
    <t>2930S - Molduras.</t>
  </si>
  <si>
    <t>3110S - Cielorraso de yeso aplicado recto bajo losa.</t>
  </si>
  <si>
    <t>3115S - Cielorraso de yeso aplicado recto bajo losa.</t>
  </si>
  <si>
    <t>3120S - Cielorraso de yeso armado recto bajo losa(madera).</t>
  </si>
  <si>
    <t>3130S - Cielorraso de yeso armado recto b/losa(metálico).</t>
  </si>
  <si>
    <t>3140S - Cielorraso tipo Spanacustic.</t>
  </si>
  <si>
    <t>3210S - Revoque de yeso completo en paredes.</t>
  </si>
  <si>
    <t>3220S - Revoque de yeso completo reforzado en paredes.</t>
  </si>
  <si>
    <t>3230S - Revoque de yeso completo en cielorrasos.</t>
  </si>
  <si>
    <t>3240S - Caja de Escalera y Palieres.</t>
  </si>
  <si>
    <t>3250S - Enlucido de yeso en barandas ó limon escaleras.</t>
  </si>
  <si>
    <t>3260S - Enlucido de yeso en placares.</t>
  </si>
  <si>
    <t>3270S - Enlucido de yeso sobre revoque grueso.</t>
  </si>
  <si>
    <t>3310S - Taparrollos armados con mader y metal en yeso.</t>
  </si>
  <si>
    <t>3410S - Molduras en yeso.</t>
  </si>
  <si>
    <t>3420S - Garganta luz difusa en yeso.</t>
  </si>
  <si>
    <t>3430S - Aristas en bordes de yeso.</t>
  </si>
  <si>
    <t>3440S - Guardacantos c/refuerzo en aristas de yeso.</t>
  </si>
  <si>
    <t>3450S - Bunas en yeso.</t>
  </si>
  <si>
    <t>4111 - Azotea inaccesible completa con techado asfáltico</t>
  </si>
  <si>
    <t>4112 - Azotea inaccesible completa con techado y aluminio</t>
  </si>
  <si>
    <t>4112S - Azotea inaccesible completa con techado y aluminio</t>
  </si>
  <si>
    <t>4121 - Azotea  accesible completa con baldosas cerámicas.</t>
  </si>
  <si>
    <t>4131 - Cubierta con membrana 4 mm. con aluminio</t>
  </si>
  <si>
    <t>4131S - Cubierta con membrana 4 mm. con aluminio.</t>
  </si>
  <si>
    <t>4132 - Cubierta con membrana 4 mm. sin aluminio</t>
  </si>
  <si>
    <t>4132S - Cubierta con membrana 4 mm. sin aluminio.</t>
  </si>
  <si>
    <t>4210S - Cubierta de tejas francesa comunes.</t>
  </si>
  <si>
    <t>4310S - Cubierta metálica c/aislación tipo R. Roll 25mm.</t>
  </si>
  <si>
    <t>5111 - Piso de cemento alisado con carpeta de 3 cm.</t>
  </si>
  <si>
    <t>5111S - Piso de cemento alisado con carpeta de 3 cm.</t>
  </si>
  <si>
    <t>5112 - Carpeta de cemento bajo pisos cerámicos.</t>
  </si>
  <si>
    <t>5112S - Carpeta de cemento bajo pisos cerámicos.</t>
  </si>
  <si>
    <t>5113 - Carpeta de cemento bajo pisos de madera.</t>
  </si>
  <si>
    <t>5113S - Carpeta de cemento bajo pisos de madera.</t>
  </si>
  <si>
    <t>5114 - Carpeta de cemento hidrófuga sobre contrapisos.</t>
  </si>
  <si>
    <t>5114S - Carpeta de cemento hidrófuga sobre contrapisos.</t>
  </si>
  <si>
    <t>5121 - Piso de Cerámicos esmaltado 30/30.</t>
  </si>
  <si>
    <t>5122 - Piso de Cerámicos esmaltado 20/20.</t>
  </si>
  <si>
    <t>5122S - Piso de Cerámicos esmaltado 20/20.</t>
  </si>
  <si>
    <t>5123 - Piso de Cerámicos comunes   08/16.</t>
  </si>
  <si>
    <t>5123S - Piso de Cerámicos comunes   08/16.</t>
  </si>
  <si>
    <t>5124 - Piso de Cerámicos comunes antideslizante 08/16.</t>
  </si>
  <si>
    <t>5124S - Piso de Cerámicos comunes antideslizante 08/16.</t>
  </si>
  <si>
    <t>5125 - Piso de baldosa cerámica de azotea 20/20.</t>
  </si>
  <si>
    <t>5132 - Piso de mosaico granítico 30/30.</t>
  </si>
  <si>
    <t>5132S - Piso de mosaico granítico 30/30.</t>
  </si>
  <si>
    <t>5134 - Piso de mosaico granítico 40/40.</t>
  </si>
  <si>
    <t>5134S - Piso de mosaico granítico 40/40.</t>
  </si>
  <si>
    <t>5139S - Pulido de pisos graníticos.</t>
  </si>
  <si>
    <t>5151S - Piso de Parquet Eucalipto.</t>
  </si>
  <si>
    <t>5162 - Piso de Hormigón Armado fratazado esp. 0,15m.</t>
  </si>
  <si>
    <t>5163 - Piso de Hormigón Armado fratazado esp. 0,20m.</t>
  </si>
  <si>
    <t>5163S - Piso de Hormigón Armado fratazado esp. 0,20m.</t>
  </si>
  <si>
    <t>5164 - Piso Hormigón Armado alisado mecánico color 0,12m.</t>
  </si>
  <si>
    <t>5164S - Piso Hormigón Armado alisado mecánico color 0,12m.</t>
  </si>
  <si>
    <t>5165 - Piso Hormigón Armado alisado mecánico color 0,15m.</t>
  </si>
  <si>
    <t>5165S - Piso Hormigón Armado alisado mecánico color 0,15m.</t>
  </si>
  <si>
    <t>5166 - Piso Hormigón Armado alisado mecánico color 0,20m.</t>
  </si>
  <si>
    <t>5166S - Piso Hormigón Armado alisado mecánico color 0,20m.</t>
  </si>
  <si>
    <t>5167S - Aserrado de juntas en pisos de Hormigón Armado.</t>
  </si>
  <si>
    <t>5168 - Juntas de Dilatación.</t>
  </si>
  <si>
    <t>5171 - Piso de losetas de vereda 40/60.</t>
  </si>
  <si>
    <t>5171S - Piso de losetas de vereda 40/60.</t>
  </si>
  <si>
    <t>5212 - Zócalo de cemento alisado h=10cm.</t>
  </si>
  <si>
    <t>5212S - Zócalo de cemento alisado h=10cm.</t>
  </si>
  <si>
    <t>5221 - Zócalo cerámico esmaltado 10/20</t>
  </si>
  <si>
    <t>5221S - Zócalo cerámico esmaltado 10/20</t>
  </si>
  <si>
    <t>5222 - Zócalo cerámico esmaltado 10/30</t>
  </si>
  <si>
    <t>5231 - Zócalo de Mosaico granítico 10/30</t>
  </si>
  <si>
    <t>5231S - Zócalo de mosaico granítico 10/30</t>
  </si>
  <si>
    <t>5251 - Zócalo de Cedro.</t>
  </si>
  <si>
    <t>5311 - Revestimiento cerámico esmaltado 20/20 h&lt;1,80m.</t>
  </si>
  <si>
    <t>5311S - Revestimiento cerámico esmaltado 20/20 h&lt;1,80m.</t>
  </si>
  <si>
    <t>5312 - Revestimiento cerámico esmaltado 20/20 h&gt;1,80m.</t>
  </si>
  <si>
    <t>5313S - Revestimiento cerámico esmaltado 20/20 cielorrasos</t>
  </si>
  <si>
    <t>5321 - Revestimiento de azulejos lisos 15/15  h &lt; 1,80m.</t>
  </si>
  <si>
    <t>5321S - Revestimiento de azulejos lisos 15/15  h &lt; 1,80m.</t>
  </si>
  <si>
    <t>5322S - Revestimiento de azulejos lisos 15/15  h &gt; 1,80m.</t>
  </si>
  <si>
    <t>5323S - Revestimiento de azulejos lisos 15/15 cielorrasos.</t>
  </si>
  <si>
    <t>5331S - Revestimiento de frentes con ladrillitos tejuela.</t>
  </si>
  <si>
    <t>5344 - Revestimiento de escaleras en Cerámico.</t>
  </si>
  <si>
    <t>5411 - Jabonera simple</t>
  </si>
  <si>
    <t>5412 - Jabonera c/agarradera</t>
  </si>
  <si>
    <t>5413 - Percha Simple</t>
  </si>
  <si>
    <t>5414 - Percha doble</t>
  </si>
  <si>
    <t>5415 - Portarollos</t>
  </si>
  <si>
    <t>5416 - Toallero Integral</t>
  </si>
  <si>
    <t>5511 - Mesada de cocina en granito Gris Mara esp. 2cm.</t>
  </si>
  <si>
    <t>6112 - Puerta exterior metálica ciega d/chapa 0,90m.</t>
  </si>
  <si>
    <t>6113 - Puerta exterior metálica ciega d/chapa 0,80m.</t>
  </si>
  <si>
    <t>6114 - Puerta interior metálica ciega d/chapa 0,80m.</t>
  </si>
  <si>
    <t>6115 - Puerta Balcón corrediza c/guía, BWG 18 1,80x2,00</t>
  </si>
  <si>
    <t>6116 - Puerta Balcón corrediza c/guía, BWG 18 2,10x2,00</t>
  </si>
  <si>
    <t>6117 - Puerta Balcón corrediza c/guía, BWG 18 2,40x2,00</t>
  </si>
  <si>
    <t>6118 - Frente vidriado para locales</t>
  </si>
  <si>
    <t>6121 - Ventana corrediza c/guía y mosquitero 1,50x1,10m.</t>
  </si>
  <si>
    <t>6123 - Ventana corrediza simple 1,50x1,10m.</t>
  </si>
  <si>
    <t>6124 - Ventana corrediza simple 1,80x1,10m.</t>
  </si>
  <si>
    <t>6131 - Ventiluz de 6 hojas de abrir, 3 paños 2,00x0,90m.</t>
  </si>
  <si>
    <t>6134 - Ventiluz de 2 hojas de abrir, 0,60x0,90m.</t>
  </si>
  <si>
    <t>6141 - Portón metálico corredizo completo.</t>
  </si>
  <si>
    <t>6151 - Baranda para balcones.</t>
  </si>
  <si>
    <t>6152 - Baranda para escaleras.</t>
  </si>
  <si>
    <t>6153 - Reja recta simple en herrería.</t>
  </si>
  <si>
    <t>6211 - Puerta entrada en madera, tablero marco BWG 0,90m.</t>
  </si>
  <si>
    <t>6212 - Puerta placa pino 2", marco BWG 0,80m.</t>
  </si>
  <si>
    <t>6213 - Puerta placa pino 2", marco BWG 0,60m.- 0,70m.</t>
  </si>
  <si>
    <t>6216 - Puerta placa cedro 2", marco BWG 0,60m.-0,70m.</t>
  </si>
  <si>
    <t>6217 - Puerta corrediza 2 hojas (cedro) 2,15x2,00</t>
  </si>
  <si>
    <t>6251 - Mueble bajo mesada.</t>
  </si>
  <si>
    <t>6252 - Alacena.</t>
  </si>
  <si>
    <t>6317 - Cortina de enrollar plastico reforzado 2,10x1,10</t>
  </si>
  <si>
    <t>6318 - Cortina de enrollar plastico reforzado 2,40x1,10</t>
  </si>
  <si>
    <t>7101 - Instalacion Sanitaria Mano de Obra</t>
  </si>
  <si>
    <t>7165S - Unidad Lavadero.</t>
  </si>
  <si>
    <t>7171S - Unidad Baño completo</t>
  </si>
  <si>
    <t>7172S - Unidad Baño toilete</t>
  </si>
  <si>
    <t>7173S - Unidad inodoro</t>
  </si>
  <si>
    <t>7174S - Unidad mingitorio</t>
  </si>
  <si>
    <t>7175S - Unidad ducha</t>
  </si>
  <si>
    <t>7176S - Unidad bacha</t>
  </si>
  <si>
    <t>7178S - Unidad lavatorio</t>
  </si>
  <si>
    <t>7179S - Unidad Cocina.</t>
  </si>
  <si>
    <t>7183S - Unidad cámara de inspección 60x60</t>
  </si>
  <si>
    <t>7184S - Unidad desague cloacal horizontal</t>
  </si>
  <si>
    <t>7185S - Unidad desague cloacal vertical</t>
  </si>
  <si>
    <t>7186S - Unidad desague pluvial horizontal</t>
  </si>
  <si>
    <t>7187S - Unidad desague pluvial vertical</t>
  </si>
  <si>
    <t>7192S - Alimentación de agua a tanques</t>
  </si>
  <si>
    <t>7193S - Bajada de tanques a artefactos</t>
  </si>
  <si>
    <t>7194S - Distribución de agua caliente</t>
  </si>
  <si>
    <t>7195S - Tanque de bombeo.</t>
  </si>
  <si>
    <t>7196S - Tanque de reserva.</t>
  </si>
  <si>
    <t>7241 - Medidores Electricos</t>
  </si>
  <si>
    <t>7251S - Toma de Energía.</t>
  </si>
  <si>
    <t>7252S - Instalación Telefónica.</t>
  </si>
  <si>
    <t>7253S - Instalación de Televisión.</t>
  </si>
  <si>
    <t>7254S - Instalación Ascensor.</t>
  </si>
  <si>
    <t>7260S - Portero electrico.</t>
  </si>
  <si>
    <t>7271S - Unidad Boca de iluminación vivienda</t>
  </si>
  <si>
    <t>7272S - Unidad Boca de iluminación fábrica</t>
  </si>
  <si>
    <t>7281S - Tablero General</t>
  </si>
  <si>
    <t>7282S - Tablero Secundario</t>
  </si>
  <si>
    <t>7331 - Cocina Blanca tres hornallas con horno y parrilla</t>
  </si>
  <si>
    <t>7332 - Anafe  dos quemadores.</t>
  </si>
  <si>
    <t>7333 - Termotanque  90 lts.</t>
  </si>
  <si>
    <t>7335 - Termotanque 150 lts.</t>
  </si>
  <si>
    <t>7337 - Calefón a botonera 14,5 lts/min.</t>
  </si>
  <si>
    <t>7338 - Estufa 2500/3000 cal/hora.</t>
  </si>
  <si>
    <t>7339 - Estufa 5000/6000 cal/hora.</t>
  </si>
  <si>
    <t>7341 - Medidores de Gas</t>
  </si>
  <si>
    <t>7911 - Ascensores normales</t>
  </si>
  <si>
    <t>7912 - Ascensores hidraulicos</t>
  </si>
  <si>
    <t>9111 - Pintura a la cal en muros y cielorrasos</t>
  </si>
  <si>
    <t>9111S - Pintura a la cal en muros y cielorrasos</t>
  </si>
  <si>
    <t>9121 - Pintura al Esmalte Sintético carpintería metálica.</t>
  </si>
  <si>
    <t>9121S - Pintura al Esmalte Sintético en marcos metálicos</t>
  </si>
  <si>
    <t>9122 - Pintura al Esmalte Sintético Satinol en muros.</t>
  </si>
  <si>
    <t>9122S - Pintura al Esmalte Sintetico Satinol en muros.</t>
  </si>
  <si>
    <t>9123 - Pintura al Esmalte Sintético en muros interiores.</t>
  </si>
  <si>
    <t>9124 - Pintura al Esmalte Sintético s/carp. de madera.</t>
  </si>
  <si>
    <t>9131 - Pintura al Latex en muros interiores.</t>
  </si>
  <si>
    <t>9131S - Pintura al Latex en muros interiores</t>
  </si>
  <si>
    <t>9132 - Pintura al Latex en cielorrasos</t>
  </si>
  <si>
    <t>9132S - Pintura al Latex en cielorrasos</t>
  </si>
  <si>
    <t>9133 - Pintura al Latex en muros exteriores.</t>
  </si>
  <si>
    <t>9133S - Pintura al Latex en muros exteriores</t>
  </si>
  <si>
    <t>9134S - Pintura al Latex en muros exteriores h&gt;3,00m.</t>
  </si>
  <si>
    <t>9141S - Pintura al Oleo Mate  en carpintería de madera</t>
  </si>
  <si>
    <t>9142S - Pintura al Oleo Mate  en frisos s/mampostería.</t>
  </si>
  <si>
    <t>9151 - Barniz en carpintería de madera.</t>
  </si>
  <si>
    <t>9151S - Barniz en carpintería de madera</t>
  </si>
  <si>
    <t>9161S - Siliconadas en ladrillo a la vista.</t>
  </si>
  <si>
    <t>9211S - Vidrio plano transparente incoloro 3mm.</t>
  </si>
  <si>
    <t>9212S - Vidrio plano transparente incoloro 4mm.</t>
  </si>
  <si>
    <t>9213S - Vidrio plano transparente incoloro 6mm.</t>
  </si>
  <si>
    <t>9214S - Vidrio plano transparente coloreado 4mm.</t>
  </si>
  <si>
    <t>9221S - Vidrio traslucido incoloro Martele 4mm.</t>
  </si>
  <si>
    <t>9222S - Vidrio traslucido amarillo Martele 4mm.</t>
  </si>
  <si>
    <t>9251S - Espejo claro 3mm.</t>
  </si>
  <si>
    <t>0251S</t>
  </si>
  <si>
    <t>Subcontrato Excavación de Bases.</t>
  </si>
  <si>
    <t>m3</t>
  </si>
  <si>
    <t>1132E</t>
  </si>
  <si>
    <t>Viga Portamuros.</t>
  </si>
  <si>
    <t>1120E</t>
  </si>
  <si>
    <t>Tensores.</t>
  </si>
  <si>
    <t>1222X</t>
  </si>
  <si>
    <t>Columnas a la vista.</t>
  </si>
  <si>
    <t>1233X</t>
  </si>
  <si>
    <t>Vigas a la vista independientes</t>
  </si>
  <si>
    <t>Losas premoldeadas SHAP 0,60</t>
  </si>
  <si>
    <t>m2</t>
  </si>
  <si>
    <t>Excavación de Vigas continuas</t>
  </si>
  <si>
    <t>Vigas continuas</t>
  </si>
  <si>
    <t>Zapatas continuas</t>
  </si>
  <si>
    <t>2° S Vigas</t>
  </si>
  <si>
    <t>2° S Columnas</t>
  </si>
  <si>
    <t>1° S Columnas</t>
  </si>
  <si>
    <t>1° S Vigas</t>
  </si>
  <si>
    <t>Código Tarea</t>
  </si>
  <si>
    <t>Unidad</t>
  </si>
  <si>
    <t>Cantidad</t>
  </si>
  <si>
    <t>Código Insumo</t>
  </si>
  <si>
    <t>Descripción Insumo</t>
  </si>
  <si>
    <t>Unidad Insumo</t>
  </si>
  <si>
    <t>Cantidad Insumo</t>
  </si>
  <si>
    <t>PUnitario</t>
  </si>
  <si>
    <t>PTOTAL</t>
  </si>
  <si>
    <t>000251</t>
  </si>
  <si>
    <t>M. de Obra para Excavación de Bases.</t>
  </si>
  <si>
    <t>101132</t>
  </si>
  <si>
    <t>M. de Obra para Vigas portamuros.</t>
  </si>
  <si>
    <t>1129</t>
  </si>
  <si>
    <t>H. Torsionado Tek=4200Kgr/cm2 - Diam. promedio</t>
  </si>
  <si>
    <t>Kg</t>
  </si>
  <si>
    <t>1821</t>
  </si>
  <si>
    <t>Hormigón Elaborado p/Estructuras as. 15 - Tbk 210</t>
  </si>
  <si>
    <t>101120</t>
  </si>
  <si>
    <t>M. de Obra para Tensores.</t>
  </si>
  <si>
    <t>1811</t>
  </si>
  <si>
    <t>Hormigón Elaborado para Bases, asent. 5 - Tbk 210</t>
  </si>
  <si>
    <t>101222</t>
  </si>
  <si>
    <t>M. de Obra para Columnas a la vista.</t>
  </si>
  <si>
    <t>1212</t>
  </si>
  <si>
    <t>Alambre negro recocido Nro. 16.</t>
  </si>
  <si>
    <t>1223</t>
  </si>
  <si>
    <t>Clavos Punta París  2-3" promedio.</t>
  </si>
  <si>
    <t>1322</t>
  </si>
  <si>
    <t>Tablas de madera p/encofrado cepilladas 1".</t>
  </si>
  <si>
    <t>1341</t>
  </si>
  <si>
    <t>Tirante de pino 3x3</t>
  </si>
  <si>
    <t>ml</t>
  </si>
  <si>
    <t>101232</t>
  </si>
  <si>
    <t>M. de Obra para Vigas a la vista.</t>
  </si>
  <si>
    <t>1760</t>
  </si>
  <si>
    <t xml:space="preserve">Loseta hueca pretensada SHAP 60 LH16-2 </t>
  </si>
  <si>
    <t>1131</t>
  </si>
  <si>
    <t>Malla de Acero tipo Sima 15x15 - Diam. 6mm Q188.</t>
  </si>
  <si>
    <t>0265</t>
  </si>
  <si>
    <t>Alquiler Grúa elevadora</t>
  </si>
  <si>
    <t>hs</t>
  </si>
  <si>
    <t>Total Insumos de la Obra</t>
  </si>
  <si>
    <t>PUnitarios_01_2025.XLSX</t>
  </si>
  <si>
    <t>1248</t>
  </si>
  <si>
    <t>Malla s/Losas premoldeadas SHAP 0,60</t>
  </si>
  <si>
    <t>1249</t>
  </si>
  <si>
    <t>Hormigon s/losetas premoldeadas SHAP 0,60</t>
  </si>
  <si>
    <t>1250</t>
  </si>
  <si>
    <t>2° S Malla s/ Losetas SHAP</t>
  </si>
  <si>
    <t>2° S Hormigon s/ Losetas SHAP</t>
  </si>
  <si>
    <t>2° S Colocacion Losetas SHAP</t>
  </si>
  <si>
    <t>1° S Malla s/ Losetas SHAP</t>
  </si>
  <si>
    <t>1° S Hormigon s/ Losetas SHAP</t>
  </si>
  <si>
    <t>1° S Colocacion Losetas SHAP</t>
  </si>
  <si>
    <t>000114</t>
  </si>
  <si>
    <t>Oficial.</t>
  </si>
  <si>
    <t>000116</t>
  </si>
  <si>
    <t>Ayudante.</t>
  </si>
  <si>
    <t>Presupuesto de Materiales</t>
  </si>
  <si>
    <t>Cantidad Total</t>
  </si>
  <si>
    <t>Precio Total</t>
  </si>
  <si>
    <t>Subtotal</t>
  </si>
  <si>
    <t>PTotal</t>
  </si>
  <si>
    <t>Total de la Obra</t>
  </si>
  <si>
    <t>Código tarea</t>
  </si>
  <si>
    <t>CantUni</t>
  </si>
  <si>
    <t>CantTot</t>
  </si>
  <si>
    <t>Jornales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</si>
</sst>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4" fontId="0" fillId="0" borderId="0" xfId="0" applyNumberFormat="1"/>
    <xf numFmtId="49" fontId="0" fillId="0" borderId="0" xfId="0" quotePrefix="1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BCD74-01C2-4FEE-B385-CB9B67B7FC40}">
  <sheetPr codeName="Hoja1"/>
  <dimension ref="A1:K427"/>
  <sheetViews>
    <sheetView workbookViewId="0">
      <selection activeCell="C1" sqref="C1:E14"/>
    </sheetView>
  </sheetViews>
  <sheetFormatPr baseColWidth="10" defaultRowHeight="14.6" x14ac:dyDescent="0.4"/>
  <cols>
    <col min="1" max="1" width="8.4609375" bestFit="1" customWidth="1"/>
    <col min="2" max="2" width="37.69140625" bestFit="1" customWidth="1"/>
    <col min="3" max="3" width="35.53515625" customWidth="1"/>
    <col min="4" max="4" width="7.3828125" bestFit="1" customWidth="1"/>
    <col min="5" max="5" width="11.07421875" style="2"/>
  </cols>
  <sheetData>
    <row r="1" spans="1:11" x14ac:dyDescent="0.4">
      <c r="A1" t="s">
        <v>0</v>
      </c>
      <c r="B1" t="s">
        <v>1</v>
      </c>
      <c r="C1" t="s">
        <v>2</v>
      </c>
      <c r="D1" t="s">
        <v>3</v>
      </c>
      <c r="E1" s="2" t="s">
        <v>4</v>
      </c>
      <c r="G1" t="s">
        <v>494</v>
      </c>
    </row>
    <row r="2" spans="1:11" x14ac:dyDescent="0.4">
      <c r="A2" s="3" t="s">
        <v>431</v>
      </c>
      <c r="B2" t="s">
        <v>432</v>
      </c>
      <c r="C2" t="s">
        <v>444</v>
      </c>
      <c r="D2" t="s">
        <v>433</v>
      </c>
      <c r="E2" s="2">
        <v>265</v>
      </c>
      <c r="K2" s="1" t="s">
        <v>5</v>
      </c>
    </row>
    <row r="3" spans="1:11" x14ac:dyDescent="0.4">
      <c r="A3" s="3" t="s">
        <v>434</v>
      </c>
      <c r="B3" t="s">
        <v>435</v>
      </c>
      <c r="C3" t="s">
        <v>446</v>
      </c>
      <c r="D3" t="s">
        <v>433</v>
      </c>
      <c r="E3" s="2">
        <v>88</v>
      </c>
      <c r="K3" s="1" t="s">
        <v>6</v>
      </c>
    </row>
    <row r="4" spans="1:11" x14ac:dyDescent="0.4">
      <c r="A4" s="3" t="s">
        <v>436</v>
      </c>
      <c r="B4" t="s">
        <v>437</v>
      </c>
      <c r="C4" t="s">
        <v>445</v>
      </c>
      <c r="D4" t="s">
        <v>433</v>
      </c>
      <c r="E4" s="2">
        <v>33</v>
      </c>
      <c r="K4" s="1" t="s">
        <v>7</v>
      </c>
    </row>
    <row r="5" spans="1:11" x14ac:dyDescent="0.4">
      <c r="A5" s="3" t="s">
        <v>438</v>
      </c>
      <c r="B5" t="s">
        <v>439</v>
      </c>
      <c r="C5" t="s">
        <v>448</v>
      </c>
      <c r="D5" t="s">
        <v>433</v>
      </c>
      <c r="E5" s="2">
        <v>7</v>
      </c>
      <c r="K5" s="1" t="s">
        <v>8</v>
      </c>
    </row>
    <row r="6" spans="1:11" x14ac:dyDescent="0.4">
      <c r="A6" s="3" t="s">
        <v>440</v>
      </c>
      <c r="B6" t="s">
        <v>441</v>
      </c>
      <c r="C6" t="s">
        <v>447</v>
      </c>
      <c r="D6" t="s">
        <v>433</v>
      </c>
      <c r="E6" s="2">
        <v>35</v>
      </c>
      <c r="K6" s="1" t="s">
        <v>9</v>
      </c>
    </row>
    <row r="7" spans="1:11" x14ac:dyDescent="0.4">
      <c r="A7" s="3" t="s">
        <v>495</v>
      </c>
      <c r="B7" t="s">
        <v>496</v>
      </c>
      <c r="C7" t="s">
        <v>500</v>
      </c>
      <c r="D7" t="s">
        <v>443</v>
      </c>
      <c r="E7" s="2">
        <v>650</v>
      </c>
      <c r="K7" s="1" t="s">
        <v>10</v>
      </c>
    </row>
    <row r="8" spans="1:11" x14ac:dyDescent="0.4">
      <c r="A8" s="3" t="s">
        <v>497</v>
      </c>
      <c r="B8" t="s">
        <v>498</v>
      </c>
      <c r="C8" t="s">
        <v>501</v>
      </c>
      <c r="D8" t="s">
        <v>443</v>
      </c>
      <c r="E8" s="2">
        <v>650</v>
      </c>
      <c r="K8" s="1" t="s">
        <v>11</v>
      </c>
    </row>
    <row r="9" spans="1:11" x14ac:dyDescent="0.4">
      <c r="A9" s="3" t="s">
        <v>499</v>
      </c>
      <c r="B9" t="s">
        <v>442</v>
      </c>
      <c r="C9" t="s">
        <v>502</v>
      </c>
      <c r="D9" t="s">
        <v>443</v>
      </c>
      <c r="E9" s="2">
        <v>650</v>
      </c>
      <c r="K9" s="1" t="s">
        <v>12</v>
      </c>
    </row>
    <row r="10" spans="1:11" x14ac:dyDescent="0.4">
      <c r="A10" s="3" t="s">
        <v>438</v>
      </c>
      <c r="B10" t="s">
        <v>439</v>
      </c>
      <c r="C10" t="s">
        <v>449</v>
      </c>
      <c r="D10" t="s">
        <v>433</v>
      </c>
      <c r="E10" s="2">
        <v>8</v>
      </c>
      <c r="K10" s="1" t="s">
        <v>13</v>
      </c>
    </row>
    <row r="11" spans="1:11" x14ac:dyDescent="0.4">
      <c r="A11" s="3" t="s">
        <v>440</v>
      </c>
      <c r="B11" t="s">
        <v>441</v>
      </c>
      <c r="C11" t="s">
        <v>450</v>
      </c>
      <c r="D11" t="s">
        <v>433</v>
      </c>
      <c r="E11" s="2">
        <v>35</v>
      </c>
      <c r="K11" s="1" t="s">
        <v>14</v>
      </c>
    </row>
    <row r="12" spans="1:11" x14ac:dyDescent="0.4">
      <c r="A12" s="3" t="s">
        <v>495</v>
      </c>
      <c r="B12" t="s">
        <v>496</v>
      </c>
      <c r="C12" t="s">
        <v>503</v>
      </c>
      <c r="D12" t="s">
        <v>443</v>
      </c>
      <c r="E12" s="2">
        <v>710</v>
      </c>
      <c r="K12" s="1" t="s">
        <v>15</v>
      </c>
    </row>
    <row r="13" spans="1:11" x14ac:dyDescent="0.4">
      <c r="A13" s="3" t="s">
        <v>497</v>
      </c>
      <c r="B13" t="s">
        <v>498</v>
      </c>
      <c r="C13" t="s">
        <v>504</v>
      </c>
      <c r="D13" t="s">
        <v>443</v>
      </c>
      <c r="E13" s="2">
        <v>710</v>
      </c>
      <c r="K13" s="1" t="s">
        <v>16</v>
      </c>
    </row>
    <row r="14" spans="1:11" x14ac:dyDescent="0.4">
      <c r="A14" s="3" t="s">
        <v>499</v>
      </c>
      <c r="B14" t="s">
        <v>442</v>
      </c>
      <c r="C14" t="s">
        <v>505</v>
      </c>
      <c r="D14" t="s">
        <v>443</v>
      </c>
      <c r="E14" s="2">
        <v>710</v>
      </c>
      <c r="K14" s="1" t="s">
        <v>17</v>
      </c>
    </row>
    <row r="15" spans="1:11" x14ac:dyDescent="0.4">
      <c r="K15" s="1" t="s">
        <v>18</v>
      </c>
    </row>
    <row r="16" spans="1:11" x14ac:dyDescent="0.4">
      <c r="K16" s="1" t="s">
        <v>19</v>
      </c>
    </row>
    <row r="17" spans="11:11" x14ac:dyDescent="0.4">
      <c r="K17" s="1" t="s">
        <v>20</v>
      </c>
    </row>
    <row r="18" spans="11:11" x14ac:dyDescent="0.4">
      <c r="K18" s="1" t="s">
        <v>21</v>
      </c>
    </row>
    <row r="19" spans="11:11" x14ac:dyDescent="0.4">
      <c r="K19" s="1" t="s">
        <v>22</v>
      </c>
    </row>
    <row r="20" spans="11:11" x14ac:dyDescent="0.4">
      <c r="K20" s="1" t="s">
        <v>23</v>
      </c>
    </row>
    <row r="21" spans="11:11" x14ac:dyDescent="0.4">
      <c r="K21" s="1" t="s">
        <v>24</v>
      </c>
    </row>
    <row r="22" spans="11:11" x14ac:dyDescent="0.4">
      <c r="K22" s="1" t="s">
        <v>25</v>
      </c>
    </row>
    <row r="23" spans="11:11" x14ac:dyDescent="0.4">
      <c r="K23" s="1" t="s">
        <v>26</v>
      </c>
    </row>
    <row r="24" spans="11:11" x14ac:dyDescent="0.4">
      <c r="K24" s="1" t="s">
        <v>27</v>
      </c>
    </row>
    <row r="25" spans="11:11" x14ac:dyDescent="0.4">
      <c r="K25" s="1" t="s">
        <v>28</v>
      </c>
    </row>
    <row r="26" spans="11:11" x14ac:dyDescent="0.4">
      <c r="K26" s="1" t="s">
        <v>29</v>
      </c>
    </row>
    <row r="27" spans="11:11" x14ac:dyDescent="0.4">
      <c r="K27" s="1" t="s">
        <v>30</v>
      </c>
    </row>
    <row r="28" spans="11:11" x14ac:dyDescent="0.4">
      <c r="K28" s="1" t="s">
        <v>31</v>
      </c>
    </row>
    <row r="29" spans="11:11" x14ac:dyDescent="0.4">
      <c r="K29" s="1" t="s">
        <v>32</v>
      </c>
    </row>
    <row r="30" spans="11:11" x14ac:dyDescent="0.4">
      <c r="K30" s="1" t="s">
        <v>33</v>
      </c>
    </row>
    <row r="31" spans="11:11" x14ac:dyDescent="0.4">
      <c r="K31" s="1" t="s">
        <v>34</v>
      </c>
    </row>
    <row r="32" spans="11:11" x14ac:dyDescent="0.4">
      <c r="K32" s="1" t="s">
        <v>35</v>
      </c>
    </row>
    <row r="33" spans="11:11" x14ac:dyDescent="0.4">
      <c r="K33" s="1" t="s">
        <v>36</v>
      </c>
    </row>
    <row r="34" spans="11:11" x14ac:dyDescent="0.4">
      <c r="K34" s="1" t="s">
        <v>37</v>
      </c>
    </row>
    <row r="35" spans="11:11" x14ac:dyDescent="0.4">
      <c r="K35" s="1" t="s">
        <v>38</v>
      </c>
    </row>
    <row r="36" spans="11:11" x14ac:dyDescent="0.4">
      <c r="K36" s="1" t="s">
        <v>39</v>
      </c>
    </row>
    <row r="37" spans="11:11" x14ac:dyDescent="0.4">
      <c r="K37" s="1" t="s">
        <v>40</v>
      </c>
    </row>
    <row r="38" spans="11:11" x14ac:dyDescent="0.4">
      <c r="K38" s="1" t="s">
        <v>41</v>
      </c>
    </row>
    <row r="39" spans="11:11" x14ac:dyDescent="0.4">
      <c r="K39" s="1" t="s">
        <v>42</v>
      </c>
    </row>
    <row r="40" spans="11:11" x14ac:dyDescent="0.4">
      <c r="K40" s="1" t="s">
        <v>43</v>
      </c>
    </row>
    <row r="41" spans="11:11" x14ac:dyDescent="0.4">
      <c r="K41" s="1" t="s">
        <v>44</v>
      </c>
    </row>
    <row r="42" spans="11:11" x14ac:dyDescent="0.4">
      <c r="K42" s="1" t="s">
        <v>45</v>
      </c>
    </row>
    <row r="43" spans="11:11" x14ac:dyDescent="0.4">
      <c r="K43" s="1" t="s">
        <v>46</v>
      </c>
    </row>
    <row r="44" spans="11:11" x14ac:dyDescent="0.4">
      <c r="K44" s="1" t="s">
        <v>47</v>
      </c>
    </row>
    <row r="45" spans="11:11" x14ac:dyDescent="0.4">
      <c r="K45" s="1" t="s">
        <v>48</v>
      </c>
    </row>
    <row r="46" spans="11:11" x14ac:dyDescent="0.4">
      <c r="K46" s="1" t="s">
        <v>49</v>
      </c>
    </row>
    <row r="47" spans="11:11" x14ac:dyDescent="0.4">
      <c r="K47" s="1" t="s">
        <v>50</v>
      </c>
    </row>
    <row r="48" spans="11:11" x14ac:dyDescent="0.4">
      <c r="K48" s="1" t="s">
        <v>51</v>
      </c>
    </row>
    <row r="49" spans="11:11" x14ac:dyDescent="0.4">
      <c r="K49" s="1" t="s">
        <v>52</v>
      </c>
    </row>
    <row r="50" spans="11:11" x14ac:dyDescent="0.4">
      <c r="K50" s="1" t="s">
        <v>53</v>
      </c>
    </row>
    <row r="51" spans="11:11" x14ac:dyDescent="0.4">
      <c r="K51" s="1" t="s">
        <v>54</v>
      </c>
    </row>
    <row r="52" spans="11:11" x14ac:dyDescent="0.4">
      <c r="K52" s="1" t="s">
        <v>55</v>
      </c>
    </row>
    <row r="53" spans="11:11" x14ac:dyDescent="0.4">
      <c r="K53" s="1" t="s">
        <v>56</v>
      </c>
    </row>
    <row r="54" spans="11:11" x14ac:dyDescent="0.4">
      <c r="K54" s="1" t="s">
        <v>57</v>
      </c>
    </row>
    <row r="55" spans="11:11" x14ac:dyDescent="0.4">
      <c r="K55" s="1" t="s">
        <v>58</v>
      </c>
    </row>
    <row r="56" spans="11:11" x14ac:dyDescent="0.4">
      <c r="K56" s="1" t="s">
        <v>59</v>
      </c>
    </row>
    <row r="57" spans="11:11" x14ac:dyDescent="0.4">
      <c r="K57" s="1" t="s">
        <v>60</v>
      </c>
    </row>
    <row r="58" spans="11:11" x14ac:dyDescent="0.4">
      <c r="K58" s="1" t="s">
        <v>61</v>
      </c>
    </row>
    <row r="59" spans="11:11" x14ac:dyDescent="0.4">
      <c r="K59" s="1" t="s">
        <v>62</v>
      </c>
    </row>
    <row r="60" spans="11:11" x14ac:dyDescent="0.4">
      <c r="K60" s="1" t="s">
        <v>63</v>
      </c>
    </row>
    <row r="61" spans="11:11" x14ac:dyDescent="0.4">
      <c r="K61" s="1" t="s">
        <v>64</v>
      </c>
    </row>
    <row r="62" spans="11:11" x14ac:dyDescent="0.4">
      <c r="K62" s="1" t="s">
        <v>65</v>
      </c>
    </row>
    <row r="63" spans="11:11" x14ac:dyDescent="0.4">
      <c r="K63" s="1" t="s">
        <v>66</v>
      </c>
    </row>
    <row r="64" spans="11:11" x14ac:dyDescent="0.4">
      <c r="K64" s="1" t="s">
        <v>67</v>
      </c>
    </row>
    <row r="65" spans="11:11" x14ac:dyDescent="0.4">
      <c r="K65" s="1" t="s">
        <v>68</v>
      </c>
    </row>
    <row r="66" spans="11:11" x14ac:dyDescent="0.4">
      <c r="K66" s="1" t="s">
        <v>69</v>
      </c>
    </row>
    <row r="67" spans="11:11" x14ac:dyDescent="0.4">
      <c r="K67" s="1" t="s">
        <v>70</v>
      </c>
    </row>
    <row r="68" spans="11:11" x14ac:dyDescent="0.4">
      <c r="K68" s="1" t="s">
        <v>71</v>
      </c>
    </row>
    <row r="69" spans="11:11" x14ac:dyDescent="0.4">
      <c r="K69" s="1" t="s">
        <v>72</v>
      </c>
    </row>
    <row r="70" spans="11:11" x14ac:dyDescent="0.4">
      <c r="K70" s="1" t="s">
        <v>73</v>
      </c>
    </row>
    <row r="71" spans="11:11" x14ac:dyDescent="0.4">
      <c r="K71" s="1" t="s">
        <v>74</v>
      </c>
    </row>
    <row r="72" spans="11:11" x14ac:dyDescent="0.4">
      <c r="K72" s="1" t="s">
        <v>75</v>
      </c>
    </row>
    <row r="73" spans="11:11" x14ac:dyDescent="0.4">
      <c r="K73" s="1" t="s">
        <v>76</v>
      </c>
    </row>
    <row r="74" spans="11:11" x14ac:dyDescent="0.4">
      <c r="K74" s="1" t="s">
        <v>77</v>
      </c>
    </row>
    <row r="75" spans="11:11" x14ac:dyDescent="0.4">
      <c r="K75" s="1" t="s">
        <v>78</v>
      </c>
    </row>
    <row r="76" spans="11:11" x14ac:dyDescent="0.4">
      <c r="K76" s="1" t="s">
        <v>79</v>
      </c>
    </row>
    <row r="77" spans="11:11" x14ac:dyDescent="0.4">
      <c r="K77" s="1" t="s">
        <v>80</v>
      </c>
    </row>
    <row r="78" spans="11:11" x14ac:dyDescent="0.4">
      <c r="K78" s="1" t="s">
        <v>81</v>
      </c>
    </row>
    <row r="79" spans="11:11" x14ac:dyDescent="0.4">
      <c r="K79" s="1" t="s">
        <v>82</v>
      </c>
    </row>
    <row r="80" spans="11:11" x14ac:dyDescent="0.4">
      <c r="K80" s="1" t="s">
        <v>83</v>
      </c>
    </row>
    <row r="81" spans="11:11" x14ac:dyDescent="0.4">
      <c r="K81" s="1" t="s">
        <v>84</v>
      </c>
    </row>
    <row r="82" spans="11:11" x14ac:dyDescent="0.4">
      <c r="K82" s="1" t="s">
        <v>85</v>
      </c>
    </row>
    <row r="83" spans="11:11" x14ac:dyDescent="0.4">
      <c r="K83" s="1" t="s">
        <v>86</v>
      </c>
    </row>
    <row r="84" spans="11:11" x14ac:dyDescent="0.4">
      <c r="K84" s="1" t="s">
        <v>87</v>
      </c>
    </row>
    <row r="85" spans="11:11" x14ac:dyDescent="0.4">
      <c r="K85" s="1" t="s">
        <v>88</v>
      </c>
    </row>
    <row r="86" spans="11:11" x14ac:dyDescent="0.4">
      <c r="K86" s="1" t="s">
        <v>89</v>
      </c>
    </row>
    <row r="87" spans="11:11" x14ac:dyDescent="0.4">
      <c r="K87" s="1" t="s">
        <v>90</v>
      </c>
    </row>
    <row r="88" spans="11:11" x14ac:dyDescent="0.4">
      <c r="K88" s="1" t="s">
        <v>91</v>
      </c>
    </row>
    <row r="89" spans="11:11" x14ac:dyDescent="0.4">
      <c r="K89" s="1" t="s">
        <v>92</v>
      </c>
    </row>
    <row r="90" spans="11:11" x14ac:dyDescent="0.4">
      <c r="K90" s="1" t="s">
        <v>93</v>
      </c>
    </row>
    <row r="91" spans="11:11" x14ac:dyDescent="0.4">
      <c r="K91" s="1" t="s">
        <v>94</v>
      </c>
    </row>
    <row r="92" spans="11:11" x14ac:dyDescent="0.4">
      <c r="K92" s="1" t="s">
        <v>95</v>
      </c>
    </row>
    <row r="93" spans="11:11" x14ac:dyDescent="0.4">
      <c r="K93" s="1" t="s">
        <v>96</v>
      </c>
    </row>
    <row r="94" spans="11:11" x14ac:dyDescent="0.4">
      <c r="K94" s="1" t="s">
        <v>97</v>
      </c>
    </row>
    <row r="95" spans="11:11" x14ac:dyDescent="0.4">
      <c r="K95" s="1" t="s">
        <v>98</v>
      </c>
    </row>
    <row r="96" spans="11:11" x14ac:dyDescent="0.4">
      <c r="K96" s="1" t="s">
        <v>99</v>
      </c>
    </row>
    <row r="97" spans="11:11" x14ac:dyDescent="0.4">
      <c r="K97" s="1" t="s">
        <v>100</v>
      </c>
    </row>
    <row r="98" spans="11:11" x14ac:dyDescent="0.4">
      <c r="K98" s="1" t="s">
        <v>101</v>
      </c>
    </row>
    <row r="99" spans="11:11" x14ac:dyDescent="0.4">
      <c r="K99" s="1" t="s">
        <v>102</v>
      </c>
    </row>
    <row r="100" spans="11:11" x14ac:dyDescent="0.4">
      <c r="K100" s="1" t="s">
        <v>103</v>
      </c>
    </row>
    <row r="101" spans="11:11" x14ac:dyDescent="0.4">
      <c r="K101" s="1" t="s">
        <v>104</v>
      </c>
    </row>
    <row r="102" spans="11:11" x14ac:dyDescent="0.4">
      <c r="K102" s="1" t="s">
        <v>105</v>
      </c>
    </row>
    <row r="103" spans="11:11" x14ac:dyDescent="0.4">
      <c r="K103" s="1" t="s">
        <v>106</v>
      </c>
    </row>
    <row r="104" spans="11:11" x14ac:dyDescent="0.4">
      <c r="K104" s="1" t="s">
        <v>107</v>
      </c>
    </row>
    <row r="105" spans="11:11" x14ac:dyDescent="0.4">
      <c r="K105" s="1" t="s">
        <v>108</v>
      </c>
    </row>
    <row r="106" spans="11:11" x14ac:dyDescent="0.4">
      <c r="K106" s="1" t="s">
        <v>109</v>
      </c>
    </row>
    <row r="107" spans="11:11" x14ac:dyDescent="0.4">
      <c r="K107" s="1" t="s">
        <v>110</v>
      </c>
    </row>
    <row r="108" spans="11:11" x14ac:dyDescent="0.4">
      <c r="K108" s="1" t="s">
        <v>111</v>
      </c>
    </row>
    <row r="109" spans="11:11" x14ac:dyDescent="0.4">
      <c r="K109" s="1" t="s">
        <v>112</v>
      </c>
    </row>
    <row r="110" spans="11:11" x14ac:dyDescent="0.4">
      <c r="K110" s="1" t="s">
        <v>113</v>
      </c>
    </row>
    <row r="111" spans="11:11" x14ac:dyDescent="0.4">
      <c r="K111" s="1" t="s">
        <v>114</v>
      </c>
    </row>
    <row r="112" spans="11:11" x14ac:dyDescent="0.4">
      <c r="K112" s="1" t="s">
        <v>115</v>
      </c>
    </row>
    <row r="113" spans="11:11" x14ac:dyDescent="0.4">
      <c r="K113" s="1" t="s">
        <v>116</v>
      </c>
    </row>
    <row r="114" spans="11:11" x14ac:dyDescent="0.4">
      <c r="K114" s="1" t="s">
        <v>117</v>
      </c>
    </row>
    <row r="115" spans="11:11" x14ac:dyDescent="0.4">
      <c r="K115" s="1" t="s">
        <v>118</v>
      </c>
    </row>
    <row r="116" spans="11:11" x14ac:dyDescent="0.4">
      <c r="K116" s="1" t="s">
        <v>119</v>
      </c>
    </row>
    <row r="117" spans="11:11" x14ac:dyDescent="0.4">
      <c r="K117" s="1" t="s">
        <v>120</v>
      </c>
    </row>
    <row r="118" spans="11:11" x14ac:dyDescent="0.4">
      <c r="K118" s="1" t="s">
        <v>121</v>
      </c>
    </row>
    <row r="119" spans="11:11" x14ac:dyDescent="0.4">
      <c r="K119" s="1" t="s">
        <v>122</v>
      </c>
    </row>
    <row r="120" spans="11:11" x14ac:dyDescent="0.4">
      <c r="K120" s="1" t="s">
        <v>123</v>
      </c>
    </row>
    <row r="121" spans="11:11" x14ac:dyDescent="0.4">
      <c r="K121" s="1" t="s">
        <v>124</v>
      </c>
    </row>
    <row r="122" spans="11:11" x14ac:dyDescent="0.4">
      <c r="K122" s="1" t="s">
        <v>125</v>
      </c>
    </row>
    <row r="123" spans="11:11" x14ac:dyDescent="0.4">
      <c r="K123" s="1" t="s">
        <v>126</v>
      </c>
    </row>
    <row r="124" spans="11:11" x14ac:dyDescent="0.4">
      <c r="K124" s="1" t="s">
        <v>127</v>
      </c>
    </row>
    <row r="125" spans="11:11" x14ac:dyDescent="0.4">
      <c r="K125" s="1" t="s">
        <v>128</v>
      </c>
    </row>
    <row r="126" spans="11:11" x14ac:dyDescent="0.4">
      <c r="K126" s="1" t="s">
        <v>129</v>
      </c>
    </row>
    <row r="127" spans="11:11" x14ac:dyDescent="0.4">
      <c r="K127" s="1" t="s">
        <v>130</v>
      </c>
    </row>
    <row r="128" spans="11:11" x14ac:dyDescent="0.4">
      <c r="K128" s="1" t="s">
        <v>131</v>
      </c>
    </row>
    <row r="129" spans="11:11" x14ac:dyDescent="0.4">
      <c r="K129" s="1" t="s">
        <v>132</v>
      </c>
    </row>
    <row r="130" spans="11:11" x14ac:dyDescent="0.4">
      <c r="K130" s="1" t="s">
        <v>133</v>
      </c>
    </row>
    <row r="131" spans="11:11" x14ac:dyDescent="0.4">
      <c r="K131" s="1" t="s">
        <v>134</v>
      </c>
    </row>
    <row r="132" spans="11:11" x14ac:dyDescent="0.4">
      <c r="K132" s="1" t="s">
        <v>135</v>
      </c>
    </row>
    <row r="133" spans="11:11" x14ac:dyDescent="0.4">
      <c r="K133" s="1" t="s">
        <v>136</v>
      </c>
    </row>
    <row r="134" spans="11:11" x14ac:dyDescent="0.4">
      <c r="K134" s="1" t="s">
        <v>137</v>
      </c>
    </row>
    <row r="135" spans="11:11" x14ac:dyDescent="0.4">
      <c r="K135" s="1" t="s">
        <v>138</v>
      </c>
    </row>
    <row r="136" spans="11:11" x14ac:dyDescent="0.4">
      <c r="K136" s="1" t="s">
        <v>139</v>
      </c>
    </row>
    <row r="137" spans="11:11" x14ac:dyDescent="0.4">
      <c r="K137" s="1" t="s">
        <v>140</v>
      </c>
    </row>
    <row r="138" spans="11:11" x14ac:dyDescent="0.4">
      <c r="K138" s="1" t="s">
        <v>141</v>
      </c>
    </row>
    <row r="139" spans="11:11" x14ac:dyDescent="0.4">
      <c r="K139" s="1" t="s">
        <v>142</v>
      </c>
    </row>
    <row r="140" spans="11:11" x14ac:dyDescent="0.4">
      <c r="K140" s="1" t="s">
        <v>143</v>
      </c>
    </row>
    <row r="141" spans="11:11" x14ac:dyDescent="0.4">
      <c r="K141" s="1" t="s">
        <v>144</v>
      </c>
    </row>
    <row r="142" spans="11:11" x14ac:dyDescent="0.4">
      <c r="K142" s="1" t="s">
        <v>145</v>
      </c>
    </row>
    <row r="143" spans="11:11" x14ac:dyDescent="0.4">
      <c r="K143" s="1" t="s">
        <v>146</v>
      </c>
    </row>
    <row r="144" spans="11:11" x14ac:dyDescent="0.4">
      <c r="K144" s="1" t="s">
        <v>147</v>
      </c>
    </row>
    <row r="145" spans="11:11" x14ac:dyDescent="0.4">
      <c r="K145" s="1" t="s">
        <v>148</v>
      </c>
    </row>
    <row r="146" spans="11:11" x14ac:dyDescent="0.4">
      <c r="K146" s="1" t="s">
        <v>149</v>
      </c>
    </row>
    <row r="147" spans="11:11" x14ac:dyDescent="0.4">
      <c r="K147" s="1" t="s">
        <v>150</v>
      </c>
    </row>
    <row r="148" spans="11:11" x14ac:dyDescent="0.4">
      <c r="K148" s="1" t="s">
        <v>151</v>
      </c>
    </row>
    <row r="149" spans="11:11" x14ac:dyDescent="0.4">
      <c r="K149" s="1" t="s">
        <v>152</v>
      </c>
    </row>
    <row r="150" spans="11:11" x14ac:dyDescent="0.4">
      <c r="K150" s="1" t="s">
        <v>153</v>
      </c>
    </row>
    <row r="151" spans="11:11" x14ac:dyDescent="0.4">
      <c r="K151" s="1" t="s">
        <v>154</v>
      </c>
    </row>
    <row r="152" spans="11:11" x14ac:dyDescent="0.4">
      <c r="K152" s="1" t="s">
        <v>155</v>
      </c>
    </row>
    <row r="153" spans="11:11" x14ac:dyDescent="0.4">
      <c r="K153" s="1" t="s">
        <v>156</v>
      </c>
    </row>
    <row r="154" spans="11:11" x14ac:dyDescent="0.4">
      <c r="K154" s="1" t="s">
        <v>157</v>
      </c>
    </row>
    <row r="155" spans="11:11" x14ac:dyDescent="0.4">
      <c r="K155" s="1" t="s">
        <v>158</v>
      </c>
    </row>
    <row r="156" spans="11:11" x14ac:dyDescent="0.4">
      <c r="K156" s="1" t="s">
        <v>159</v>
      </c>
    </row>
    <row r="157" spans="11:11" x14ac:dyDescent="0.4">
      <c r="K157" s="1" t="s">
        <v>160</v>
      </c>
    </row>
    <row r="158" spans="11:11" x14ac:dyDescent="0.4">
      <c r="K158" s="1" t="s">
        <v>161</v>
      </c>
    </row>
    <row r="159" spans="11:11" x14ac:dyDescent="0.4">
      <c r="K159" s="1" t="s">
        <v>162</v>
      </c>
    </row>
    <row r="160" spans="11:11" x14ac:dyDescent="0.4">
      <c r="K160" s="1" t="s">
        <v>163</v>
      </c>
    </row>
    <row r="161" spans="11:11" x14ac:dyDescent="0.4">
      <c r="K161" s="1" t="s">
        <v>164</v>
      </c>
    </row>
    <row r="162" spans="11:11" x14ac:dyDescent="0.4">
      <c r="K162" s="1" t="s">
        <v>165</v>
      </c>
    </row>
    <row r="163" spans="11:11" x14ac:dyDescent="0.4">
      <c r="K163" s="1" t="s">
        <v>166</v>
      </c>
    </row>
    <row r="164" spans="11:11" x14ac:dyDescent="0.4">
      <c r="K164" s="1" t="s">
        <v>167</v>
      </c>
    </row>
    <row r="165" spans="11:11" x14ac:dyDescent="0.4">
      <c r="K165" s="1" t="s">
        <v>168</v>
      </c>
    </row>
    <row r="166" spans="11:11" x14ac:dyDescent="0.4">
      <c r="K166" s="1" t="s">
        <v>169</v>
      </c>
    </row>
    <row r="167" spans="11:11" x14ac:dyDescent="0.4">
      <c r="K167" s="1" t="s">
        <v>170</v>
      </c>
    </row>
    <row r="168" spans="11:11" x14ac:dyDescent="0.4">
      <c r="K168" s="1" t="s">
        <v>171</v>
      </c>
    </row>
    <row r="169" spans="11:11" x14ac:dyDescent="0.4">
      <c r="K169" s="1" t="s">
        <v>172</v>
      </c>
    </row>
    <row r="170" spans="11:11" x14ac:dyDescent="0.4">
      <c r="K170" s="1" t="s">
        <v>173</v>
      </c>
    </row>
    <row r="171" spans="11:11" x14ac:dyDescent="0.4">
      <c r="K171" s="1" t="s">
        <v>174</v>
      </c>
    </row>
    <row r="172" spans="11:11" x14ac:dyDescent="0.4">
      <c r="K172" s="1" t="s">
        <v>175</v>
      </c>
    </row>
    <row r="173" spans="11:11" x14ac:dyDescent="0.4">
      <c r="K173" s="1" t="s">
        <v>176</v>
      </c>
    </row>
    <row r="174" spans="11:11" x14ac:dyDescent="0.4">
      <c r="K174" s="1" t="s">
        <v>177</v>
      </c>
    </row>
    <row r="175" spans="11:11" x14ac:dyDescent="0.4">
      <c r="K175" s="1" t="s">
        <v>178</v>
      </c>
    </row>
    <row r="176" spans="11:11" x14ac:dyDescent="0.4">
      <c r="K176" s="1" t="s">
        <v>179</v>
      </c>
    </row>
    <row r="177" spans="11:11" x14ac:dyDescent="0.4">
      <c r="K177" s="1" t="s">
        <v>180</v>
      </c>
    </row>
    <row r="178" spans="11:11" x14ac:dyDescent="0.4">
      <c r="K178" s="1" t="s">
        <v>181</v>
      </c>
    </row>
    <row r="179" spans="11:11" x14ac:dyDescent="0.4">
      <c r="K179" s="1" t="s">
        <v>182</v>
      </c>
    </row>
    <row r="180" spans="11:11" x14ac:dyDescent="0.4">
      <c r="K180" s="1" t="s">
        <v>183</v>
      </c>
    </row>
    <row r="181" spans="11:11" x14ac:dyDescent="0.4">
      <c r="K181" s="1" t="s">
        <v>184</v>
      </c>
    </row>
    <row r="182" spans="11:11" x14ac:dyDescent="0.4">
      <c r="K182" s="1" t="s">
        <v>185</v>
      </c>
    </row>
    <row r="183" spans="11:11" x14ac:dyDescent="0.4">
      <c r="K183" s="1" t="s">
        <v>186</v>
      </c>
    </row>
    <row r="184" spans="11:11" x14ac:dyDescent="0.4">
      <c r="K184" s="1" t="s">
        <v>187</v>
      </c>
    </row>
    <row r="185" spans="11:11" x14ac:dyDescent="0.4">
      <c r="K185" s="1" t="s">
        <v>188</v>
      </c>
    </row>
    <row r="186" spans="11:11" x14ac:dyDescent="0.4">
      <c r="K186" s="1" t="s">
        <v>189</v>
      </c>
    </row>
    <row r="187" spans="11:11" x14ac:dyDescent="0.4">
      <c r="K187" s="1" t="s">
        <v>190</v>
      </c>
    </row>
    <row r="188" spans="11:11" x14ac:dyDescent="0.4">
      <c r="K188" s="1" t="s">
        <v>191</v>
      </c>
    </row>
    <row r="189" spans="11:11" x14ac:dyDescent="0.4">
      <c r="K189" s="1" t="s">
        <v>192</v>
      </c>
    </row>
    <row r="190" spans="11:11" x14ac:dyDescent="0.4">
      <c r="K190" s="1" t="s">
        <v>193</v>
      </c>
    </row>
    <row r="191" spans="11:11" x14ac:dyDescent="0.4">
      <c r="K191" s="1" t="s">
        <v>194</v>
      </c>
    </row>
    <row r="192" spans="11:11" x14ac:dyDescent="0.4">
      <c r="K192" s="1" t="s">
        <v>195</v>
      </c>
    </row>
    <row r="193" spans="11:11" x14ac:dyDescent="0.4">
      <c r="K193" s="1" t="s">
        <v>196</v>
      </c>
    </row>
    <row r="194" spans="11:11" x14ac:dyDescent="0.4">
      <c r="K194" s="1" t="s">
        <v>197</v>
      </c>
    </row>
    <row r="195" spans="11:11" x14ac:dyDescent="0.4">
      <c r="K195" s="1" t="s">
        <v>198</v>
      </c>
    </row>
    <row r="196" spans="11:11" x14ac:dyDescent="0.4">
      <c r="K196" s="1" t="s">
        <v>199</v>
      </c>
    </row>
    <row r="197" spans="11:11" x14ac:dyDescent="0.4">
      <c r="K197" s="1" t="s">
        <v>200</v>
      </c>
    </row>
    <row r="198" spans="11:11" x14ac:dyDescent="0.4">
      <c r="K198" s="1" t="s">
        <v>201</v>
      </c>
    </row>
    <row r="199" spans="11:11" x14ac:dyDescent="0.4">
      <c r="K199" s="1" t="s">
        <v>202</v>
      </c>
    </row>
    <row r="200" spans="11:11" x14ac:dyDescent="0.4">
      <c r="K200" s="1" t="s">
        <v>203</v>
      </c>
    </row>
    <row r="201" spans="11:11" x14ac:dyDescent="0.4">
      <c r="K201" s="1" t="s">
        <v>204</v>
      </c>
    </row>
    <row r="202" spans="11:11" x14ac:dyDescent="0.4">
      <c r="K202" s="1" t="s">
        <v>205</v>
      </c>
    </row>
    <row r="203" spans="11:11" x14ac:dyDescent="0.4">
      <c r="K203" s="1" t="s">
        <v>206</v>
      </c>
    </row>
    <row r="204" spans="11:11" x14ac:dyDescent="0.4">
      <c r="K204" s="1" t="s">
        <v>207</v>
      </c>
    </row>
    <row r="205" spans="11:11" x14ac:dyDescent="0.4">
      <c r="K205" s="1" t="s">
        <v>208</v>
      </c>
    </row>
    <row r="206" spans="11:11" x14ac:dyDescent="0.4">
      <c r="K206" s="1" t="s">
        <v>209</v>
      </c>
    </row>
    <row r="207" spans="11:11" x14ac:dyDescent="0.4">
      <c r="K207" s="1" t="s">
        <v>210</v>
      </c>
    </row>
    <row r="208" spans="11:11" x14ac:dyDescent="0.4">
      <c r="K208" s="1" t="s">
        <v>211</v>
      </c>
    </row>
    <row r="209" spans="11:11" x14ac:dyDescent="0.4">
      <c r="K209" s="1" t="s">
        <v>212</v>
      </c>
    </row>
    <row r="210" spans="11:11" x14ac:dyDescent="0.4">
      <c r="K210" s="1" t="s">
        <v>213</v>
      </c>
    </row>
    <row r="211" spans="11:11" x14ac:dyDescent="0.4">
      <c r="K211" s="1" t="s">
        <v>214</v>
      </c>
    </row>
    <row r="212" spans="11:11" x14ac:dyDescent="0.4">
      <c r="K212" s="1" t="s">
        <v>215</v>
      </c>
    </row>
    <row r="213" spans="11:11" x14ac:dyDescent="0.4">
      <c r="K213" s="1" t="s">
        <v>216</v>
      </c>
    </row>
    <row r="214" spans="11:11" x14ac:dyDescent="0.4">
      <c r="K214" s="1" t="s">
        <v>217</v>
      </c>
    </row>
    <row r="215" spans="11:11" x14ac:dyDescent="0.4">
      <c r="K215" s="1" t="s">
        <v>218</v>
      </c>
    </row>
    <row r="216" spans="11:11" x14ac:dyDescent="0.4">
      <c r="K216" s="1" t="s">
        <v>219</v>
      </c>
    </row>
    <row r="217" spans="11:11" x14ac:dyDescent="0.4">
      <c r="K217" s="1" t="s">
        <v>220</v>
      </c>
    </row>
    <row r="218" spans="11:11" x14ac:dyDescent="0.4">
      <c r="K218" s="1" t="s">
        <v>221</v>
      </c>
    </row>
    <row r="219" spans="11:11" x14ac:dyDescent="0.4">
      <c r="K219" s="1" t="s">
        <v>222</v>
      </c>
    </row>
    <row r="220" spans="11:11" x14ac:dyDescent="0.4">
      <c r="K220" s="1" t="s">
        <v>223</v>
      </c>
    </row>
    <row r="221" spans="11:11" x14ac:dyDescent="0.4">
      <c r="K221" s="1" t="s">
        <v>224</v>
      </c>
    </row>
    <row r="222" spans="11:11" x14ac:dyDescent="0.4">
      <c r="K222" s="1" t="s">
        <v>225</v>
      </c>
    </row>
    <row r="223" spans="11:11" x14ac:dyDescent="0.4">
      <c r="K223" s="1" t="s">
        <v>226</v>
      </c>
    </row>
    <row r="224" spans="11:11" x14ac:dyDescent="0.4">
      <c r="K224" s="1" t="s">
        <v>227</v>
      </c>
    </row>
    <row r="225" spans="11:11" x14ac:dyDescent="0.4">
      <c r="K225" s="1" t="s">
        <v>228</v>
      </c>
    </row>
    <row r="226" spans="11:11" x14ac:dyDescent="0.4">
      <c r="K226" s="1" t="s">
        <v>229</v>
      </c>
    </row>
    <row r="227" spans="11:11" x14ac:dyDescent="0.4">
      <c r="K227" s="1" t="s">
        <v>230</v>
      </c>
    </row>
    <row r="228" spans="11:11" x14ac:dyDescent="0.4">
      <c r="K228" s="1" t="s">
        <v>231</v>
      </c>
    </row>
    <row r="229" spans="11:11" x14ac:dyDescent="0.4">
      <c r="K229" s="1" t="s">
        <v>232</v>
      </c>
    </row>
    <row r="230" spans="11:11" x14ac:dyDescent="0.4">
      <c r="K230" s="1" t="s">
        <v>233</v>
      </c>
    </row>
    <row r="231" spans="11:11" x14ac:dyDescent="0.4">
      <c r="K231" s="1" t="s">
        <v>234</v>
      </c>
    </row>
    <row r="232" spans="11:11" x14ac:dyDescent="0.4">
      <c r="K232" s="1" t="s">
        <v>235</v>
      </c>
    </row>
    <row r="233" spans="11:11" x14ac:dyDescent="0.4">
      <c r="K233" s="1" t="s">
        <v>236</v>
      </c>
    </row>
    <row r="234" spans="11:11" x14ac:dyDescent="0.4">
      <c r="K234" s="1" t="s">
        <v>237</v>
      </c>
    </row>
    <row r="235" spans="11:11" x14ac:dyDescent="0.4">
      <c r="K235" s="1" t="s">
        <v>238</v>
      </c>
    </row>
    <row r="236" spans="11:11" x14ac:dyDescent="0.4">
      <c r="K236" s="1" t="s">
        <v>239</v>
      </c>
    </row>
    <row r="237" spans="11:11" x14ac:dyDescent="0.4">
      <c r="K237" s="1" t="s">
        <v>240</v>
      </c>
    </row>
    <row r="238" spans="11:11" x14ac:dyDescent="0.4">
      <c r="K238" s="1" t="s">
        <v>241</v>
      </c>
    </row>
    <row r="239" spans="11:11" x14ac:dyDescent="0.4">
      <c r="K239" s="1" t="s">
        <v>242</v>
      </c>
    </row>
    <row r="240" spans="11:11" x14ac:dyDescent="0.4">
      <c r="K240" s="1" t="s">
        <v>243</v>
      </c>
    </row>
    <row r="241" spans="11:11" x14ac:dyDescent="0.4">
      <c r="K241" s="1" t="s">
        <v>244</v>
      </c>
    </row>
    <row r="242" spans="11:11" x14ac:dyDescent="0.4">
      <c r="K242" s="1" t="s">
        <v>245</v>
      </c>
    </row>
    <row r="243" spans="11:11" x14ac:dyDescent="0.4">
      <c r="K243" s="1" t="s">
        <v>246</v>
      </c>
    </row>
    <row r="244" spans="11:11" x14ac:dyDescent="0.4">
      <c r="K244" s="1" t="s">
        <v>247</v>
      </c>
    </row>
    <row r="245" spans="11:11" x14ac:dyDescent="0.4">
      <c r="K245" s="1" t="s">
        <v>248</v>
      </c>
    </row>
    <row r="246" spans="11:11" x14ac:dyDescent="0.4">
      <c r="K246" s="1" t="s">
        <v>249</v>
      </c>
    </row>
    <row r="247" spans="11:11" x14ac:dyDescent="0.4">
      <c r="K247" s="1" t="s">
        <v>250</v>
      </c>
    </row>
    <row r="248" spans="11:11" x14ac:dyDescent="0.4">
      <c r="K248" s="1" t="s">
        <v>251</v>
      </c>
    </row>
    <row r="249" spans="11:11" x14ac:dyDescent="0.4">
      <c r="K249" s="1" t="s">
        <v>252</v>
      </c>
    </row>
    <row r="250" spans="11:11" x14ac:dyDescent="0.4">
      <c r="K250" s="1" t="s">
        <v>253</v>
      </c>
    </row>
    <row r="251" spans="11:11" x14ac:dyDescent="0.4">
      <c r="K251" s="1" t="s">
        <v>254</v>
      </c>
    </row>
    <row r="252" spans="11:11" x14ac:dyDescent="0.4">
      <c r="K252" s="1" t="s">
        <v>255</v>
      </c>
    </row>
    <row r="253" spans="11:11" x14ac:dyDescent="0.4">
      <c r="K253" s="1" t="s">
        <v>256</v>
      </c>
    </row>
    <row r="254" spans="11:11" x14ac:dyDescent="0.4">
      <c r="K254" s="1" t="s">
        <v>257</v>
      </c>
    </row>
    <row r="255" spans="11:11" x14ac:dyDescent="0.4">
      <c r="K255" s="1" t="s">
        <v>258</v>
      </c>
    </row>
    <row r="256" spans="11:11" x14ac:dyDescent="0.4">
      <c r="K256" s="1" t="s">
        <v>259</v>
      </c>
    </row>
    <row r="257" spans="11:11" x14ac:dyDescent="0.4">
      <c r="K257" s="1" t="s">
        <v>260</v>
      </c>
    </row>
    <row r="258" spans="11:11" x14ac:dyDescent="0.4">
      <c r="K258" s="1" t="s">
        <v>261</v>
      </c>
    </row>
    <row r="259" spans="11:11" x14ac:dyDescent="0.4">
      <c r="K259" s="1" t="s">
        <v>262</v>
      </c>
    </row>
    <row r="260" spans="11:11" x14ac:dyDescent="0.4">
      <c r="K260" s="1" t="s">
        <v>263</v>
      </c>
    </row>
    <row r="261" spans="11:11" x14ac:dyDescent="0.4">
      <c r="K261" s="1" t="s">
        <v>264</v>
      </c>
    </row>
    <row r="262" spans="11:11" x14ac:dyDescent="0.4">
      <c r="K262" s="1" t="s">
        <v>265</v>
      </c>
    </row>
    <row r="263" spans="11:11" x14ac:dyDescent="0.4">
      <c r="K263" s="1" t="s">
        <v>266</v>
      </c>
    </row>
    <row r="264" spans="11:11" x14ac:dyDescent="0.4">
      <c r="K264" s="1" t="s">
        <v>267</v>
      </c>
    </row>
    <row r="265" spans="11:11" x14ac:dyDescent="0.4">
      <c r="K265" s="1" t="s">
        <v>268</v>
      </c>
    </row>
    <row r="266" spans="11:11" x14ac:dyDescent="0.4">
      <c r="K266" s="1" t="s">
        <v>269</v>
      </c>
    </row>
    <row r="267" spans="11:11" x14ac:dyDescent="0.4">
      <c r="K267" s="1" t="s">
        <v>270</v>
      </c>
    </row>
    <row r="268" spans="11:11" x14ac:dyDescent="0.4">
      <c r="K268" s="1" t="s">
        <v>271</v>
      </c>
    </row>
    <row r="269" spans="11:11" x14ac:dyDescent="0.4">
      <c r="K269" s="1" t="s">
        <v>272</v>
      </c>
    </row>
    <row r="270" spans="11:11" x14ac:dyDescent="0.4">
      <c r="K270" s="1" t="s">
        <v>273</v>
      </c>
    </row>
    <row r="271" spans="11:11" x14ac:dyDescent="0.4">
      <c r="K271" s="1" t="s">
        <v>274</v>
      </c>
    </row>
    <row r="272" spans="11:11" x14ac:dyDescent="0.4">
      <c r="K272" s="1" t="s">
        <v>275</v>
      </c>
    </row>
    <row r="273" spans="11:11" x14ac:dyDescent="0.4">
      <c r="K273" s="1" t="s">
        <v>276</v>
      </c>
    </row>
    <row r="274" spans="11:11" x14ac:dyDescent="0.4">
      <c r="K274" s="1" t="s">
        <v>277</v>
      </c>
    </row>
    <row r="275" spans="11:11" x14ac:dyDescent="0.4">
      <c r="K275" s="1" t="s">
        <v>278</v>
      </c>
    </row>
    <row r="276" spans="11:11" x14ac:dyDescent="0.4">
      <c r="K276" s="1" t="s">
        <v>279</v>
      </c>
    </row>
    <row r="277" spans="11:11" x14ac:dyDescent="0.4">
      <c r="K277" s="1" t="s">
        <v>280</v>
      </c>
    </row>
    <row r="278" spans="11:11" x14ac:dyDescent="0.4">
      <c r="K278" s="1" t="s">
        <v>281</v>
      </c>
    </row>
    <row r="279" spans="11:11" x14ac:dyDescent="0.4">
      <c r="K279" s="1" t="s">
        <v>282</v>
      </c>
    </row>
    <row r="280" spans="11:11" x14ac:dyDescent="0.4">
      <c r="K280" s="1" t="s">
        <v>283</v>
      </c>
    </row>
    <row r="281" spans="11:11" x14ac:dyDescent="0.4">
      <c r="K281" s="1" t="s">
        <v>284</v>
      </c>
    </row>
    <row r="282" spans="11:11" x14ac:dyDescent="0.4">
      <c r="K282" s="1" t="s">
        <v>285</v>
      </c>
    </row>
    <row r="283" spans="11:11" x14ac:dyDescent="0.4">
      <c r="K283" s="1" t="s">
        <v>286</v>
      </c>
    </row>
    <row r="284" spans="11:11" x14ac:dyDescent="0.4">
      <c r="K284" s="1" t="s">
        <v>287</v>
      </c>
    </row>
    <row r="285" spans="11:11" x14ac:dyDescent="0.4">
      <c r="K285" s="1" t="s">
        <v>288</v>
      </c>
    </row>
    <row r="286" spans="11:11" x14ac:dyDescent="0.4">
      <c r="K286" s="1" t="s">
        <v>289</v>
      </c>
    </row>
    <row r="287" spans="11:11" x14ac:dyDescent="0.4">
      <c r="K287" s="1" t="s">
        <v>290</v>
      </c>
    </row>
    <row r="288" spans="11:11" x14ac:dyDescent="0.4">
      <c r="K288" s="1" t="s">
        <v>291</v>
      </c>
    </row>
    <row r="289" spans="11:11" x14ac:dyDescent="0.4">
      <c r="K289" s="1" t="s">
        <v>292</v>
      </c>
    </row>
    <row r="290" spans="11:11" x14ac:dyDescent="0.4">
      <c r="K290" s="1" t="s">
        <v>293</v>
      </c>
    </row>
    <row r="291" spans="11:11" x14ac:dyDescent="0.4">
      <c r="K291" s="1" t="s">
        <v>294</v>
      </c>
    </row>
    <row r="292" spans="11:11" x14ac:dyDescent="0.4">
      <c r="K292" s="1" t="s">
        <v>295</v>
      </c>
    </row>
    <row r="293" spans="11:11" x14ac:dyDescent="0.4">
      <c r="K293" s="1" t="s">
        <v>296</v>
      </c>
    </row>
    <row r="294" spans="11:11" x14ac:dyDescent="0.4">
      <c r="K294" s="1" t="s">
        <v>297</v>
      </c>
    </row>
    <row r="295" spans="11:11" x14ac:dyDescent="0.4">
      <c r="K295" s="1" t="s">
        <v>298</v>
      </c>
    </row>
    <row r="296" spans="11:11" x14ac:dyDescent="0.4">
      <c r="K296" s="1" t="s">
        <v>299</v>
      </c>
    </row>
    <row r="297" spans="11:11" x14ac:dyDescent="0.4">
      <c r="K297" s="1" t="s">
        <v>300</v>
      </c>
    </row>
    <row r="298" spans="11:11" x14ac:dyDescent="0.4">
      <c r="K298" s="1" t="s">
        <v>301</v>
      </c>
    </row>
    <row r="299" spans="11:11" x14ac:dyDescent="0.4">
      <c r="K299" s="1" t="s">
        <v>302</v>
      </c>
    </row>
    <row r="300" spans="11:11" x14ac:dyDescent="0.4">
      <c r="K300" s="1" t="s">
        <v>303</v>
      </c>
    </row>
    <row r="301" spans="11:11" x14ac:dyDescent="0.4">
      <c r="K301" s="1" t="s">
        <v>304</v>
      </c>
    </row>
    <row r="302" spans="11:11" x14ac:dyDescent="0.4">
      <c r="K302" s="1" t="s">
        <v>305</v>
      </c>
    </row>
    <row r="303" spans="11:11" x14ac:dyDescent="0.4">
      <c r="K303" s="1" t="s">
        <v>306</v>
      </c>
    </row>
    <row r="304" spans="11:11" x14ac:dyDescent="0.4">
      <c r="K304" s="1" t="s">
        <v>307</v>
      </c>
    </row>
    <row r="305" spans="11:11" x14ac:dyDescent="0.4">
      <c r="K305" s="1" t="s">
        <v>308</v>
      </c>
    </row>
    <row r="306" spans="11:11" x14ac:dyDescent="0.4">
      <c r="K306" s="1" t="s">
        <v>309</v>
      </c>
    </row>
    <row r="307" spans="11:11" x14ac:dyDescent="0.4">
      <c r="K307" s="1" t="s">
        <v>310</v>
      </c>
    </row>
    <row r="308" spans="11:11" x14ac:dyDescent="0.4">
      <c r="K308" s="1" t="s">
        <v>311</v>
      </c>
    </row>
    <row r="309" spans="11:11" x14ac:dyDescent="0.4">
      <c r="K309" s="1" t="s">
        <v>312</v>
      </c>
    </row>
    <row r="310" spans="11:11" x14ac:dyDescent="0.4">
      <c r="K310" s="1" t="s">
        <v>313</v>
      </c>
    </row>
    <row r="311" spans="11:11" x14ac:dyDescent="0.4">
      <c r="K311" s="1" t="s">
        <v>314</v>
      </c>
    </row>
    <row r="312" spans="11:11" x14ac:dyDescent="0.4">
      <c r="K312" s="1" t="s">
        <v>315</v>
      </c>
    </row>
    <row r="313" spans="11:11" x14ac:dyDescent="0.4">
      <c r="K313" s="1" t="s">
        <v>316</v>
      </c>
    </row>
    <row r="314" spans="11:11" x14ac:dyDescent="0.4">
      <c r="K314" s="1" t="s">
        <v>317</v>
      </c>
    </row>
    <row r="315" spans="11:11" x14ac:dyDescent="0.4">
      <c r="K315" s="1" t="s">
        <v>318</v>
      </c>
    </row>
    <row r="316" spans="11:11" x14ac:dyDescent="0.4">
      <c r="K316" s="1" t="s">
        <v>319</v>
      </c>
    </row>
    <row r="317" spans="11:11" x14ac:dyDescent="0.4">
      <c r="K317" s="1" t="s">
        <v>320</v>
      </c>
    </row>
    <row r="318" spans="11:11" x14ac:dyDescent="0.4">
      <c r="K318" s="1" t="s">
        <v>321</v>
      </c>
    </row>
    <row r="319" spans="11:11" x14ac:dyDescent="0.4">
      <c r="K319" s="1" t="s">
        <v>322</v>
      </c>
    </row>
    <row r="320" spans="11:11" x14ac:dyDescent="0.4">
      <c r="K320" s="1" t="s">
        <v>323</v>
      </c>
    </row>
    <row r="321" spans="11:11" x14ac:dyDescent="0.4">
      <c r="K321" s="1" t="s">
        <v>324</v>
      </c>
    </row>
    <row r="322" spans="11:11" x14ac:dyDescent="0.4">
      <c r="K322" s="1" t="s">
        <v>325</v>
      </c>
    </row>
    <row r="323" spans="11:11" x14ac:dyDescent="0.4">
      <c r="K323" s="1" t="s">
        <v>326</v>
      </c>
    </row>
    <row r="324" spans="11:11" x14ac:dyDescent="0.4">
      <c r="K324" s="1" t="s">
        <v>327</v>
      </c>
    </row>
    <row r="325" spans="11:11" x14ac:dyDescent="0.4">
      <c r="K325" s="1" t="s">
        <v>328</v>
      </c>
    </row>
    <row r="326" spans="11:11" x14ac:dyDescent="0.4">
      <c r="K326" s="1" t="s">
        <v>329</v>
      </c>
    </row>
    <row r="327" spans="11:11" x14ac:dyDescent="0.4">
      <c r="K327" s="1" t="s">
        <v>330</v>
      </c>
    </row>
    <row r="328" spans="11:11" x14ac:dyDescent="0.4">
      <c r="K328" s="1" t="s">
        <v>331</v>
      </c>
    </row>
    <row r="329" spans="11:11" x14ac:dyDescent="0.4">
      <c r="K329" s="1" t="s">
        <v>332</v>
      </c>
    </row>
    <row r="330" spans="11:11" x14ac:dyDescent="0.4">
      <c r="K330" s="1" t="s">
        <v>333</v>
      </c>
    </row>
    <row r="331" spans="11:11" x14ac:dyDescent="0.4">
      <c r="K331" s="1" t="s">
        <v>334</v>
      </c>
    </row>
    <row r="332" spans="11:11" x14ac:dyDescent="0.4">
      <c r="K332" s="1" t="s">
        <v>335</v>
      </c>
    </row>
    <row r="333" spans="11:11" x14ac:dyDescent="0.4">
      <c r="K333" s="1" t="s">
        <v>336</v>
      </c>
    </row>
    <row r="334" spans="11:11" x14ac:dyDescent="0.4">
      <c r="K334" s="1" t="s">
        <v>337</v>
      </c>
    </row>
    <row r="335" spans="11:11" x14ac:dyDescent="0.4">
      <c r="K335" s="1" t="s">
        <v>338</v>
      </c>
    </row>
    <row r="336" spans="11:11" x14ac:dyDescent="0.4">
      <c r="K336" s="1" t="s">
        <v>339</v>
      </c>
    </row>
    <row r="337" spans="11:11" x14ac:dyDescent="0.4">
      <c r="K337" s="1" t="s">
        <v>340</v>
      </c>
    </row>
    <row r="338" spans="11:11" x14ac:dyDescent="0.4">
      <c r="K338" s="1" t="s">
        <v>341</v>
      </c>
    </row>
    <row r="339" spans="11:11" x14ac:dyDescent="0.4">
      <c r="K339" s="1" t="s">
        <v>342</v>
      </c>
    </row>
    <row r="340" spans="11:11" x14ac:dyDescent="0.4">
      <c r="K340" s="1" t="s">
        <v>343</v>
      </c>
    </row>
    <row r="341" spans="11:11" x14ac:dyDescent="0.4">
      <c r="K341" s="1" t="s">
        <v>344</v>
      </c>
    </row>
    <row r="342" spans="11:11" x14ac:dyDescent="0.4">
      <c r="K342" s="1" t="s">
        <v>345</v>
      </c>
    </row>
    <row r="343" spans="11:11" x14ac:dyDescent="0.4">
      <c r="K343" s="1" t="s">
        <v>346</v>
      </c>
    </row>
    <row r="344" spans="11:11" x14ac:dyDescent="0.4">
      <c r="K344" s="1" t="s">
        <v>347</v>
      </c>
    </row>
    <row r="345" spans="11:11" x14ac:dyDescent="0.4">
      <c r="K345" s="1" t="s">
        <v>348</v>
      </c>
    </row>
    <row r="346" spans="11:11" x14ac:dyDescent="0.4">
      <c r="K346" s="1" t="s">
        <v>349</v>
      </c>
    </row>
    <row r="347" spans="11:11" x14ac:dyDescent="0.4">
      <c r="K347" s="1" t="s">
        <v>350</v>
      </c>
    </row>
    <row r="348" spans="11:11" x14ac:dyDescent="0.4">
      <c r="K348" s="1" t="s">
        <v>351</v>
      </c>
    </row>
    <row r="349" spans="11:11" x14ac:dyDescent="0.4">
      <c r="K349" s="1" t="s">
        <v>352</v>
      </c>
    </row>
    <row r="350" spans="11:11" x14ac:dyDescent="0.4">
      <c r="K350" s="1" t="s">
        <v>353</v>
      </c>
    </row>
    <row r="351" spans="11:11" x14ac:dyDescent="0.4">
      <c r="K351" s="1" t="s">
        <v>354</v>
      </c>
    </row>
    <row r="352" spans="11:11" x14ac:dyDescent="0.4">
      <c r="K352" s="1" t="s">
        <v>355</v>
      </c>
    </row>
    <row r="353" spans="11:11" x14ac:dyDescent="0.4">
      <c r="K353" s="1" t="s">
        <v>356</v>
      </c>
    </row>
    <row r="354" spans="11:11" x14ac:dyDescent="0.4">
      <c r="K354" s="1" t="s">
        <v>357</v>
      </c>
    </row>
    <row r="355" spans="11:11" x14ac:dyDescent="0.4">
      <c r="K355" s="1" t="s">
        <v>358</v>
      </c>
    </row>
    <row r="356" spans="11:11" x14ac:dyDescent="0.4">
      <c r="K356" s="1" t="s">
        <v>359</v>
      </c>
    </row>
    <row r="357" spans="11:11" x14ac:dyDescent="0.4">
      <c r="K357" s="1" t="s">
        <v>360</v>
      </c>
    </row>
    <row r="358" spans="11:11" x14ac:dyDescent="0.4">
      <c r="K358" s="1" t="s">
        <v>361</v>
      </c>
    </row>
    <row r="359" spans="11:11" x14ac:dyDescent="0.4">
      <c r="K359" s="1" t="s">
        <v>362</v>
      </c>
    </row>
    <row r="360" spans="11:11" x14ac:dyDescent="0.4">
      <c r="K360" s="1" t="s">
        <v>363</v>
      </c>
    </row>
    <row r="361" spans="11:11" x14ac:dyDescent="0.4">
      <c r="K361" s="1" t="s">
        <v>364</v>
      </c>
    </row>
    <row r="362" spans="11:11" x14ac:dyDescent="0.4">
      <c r="K362" s="1" t="s">
        <v>365</v>
      </c>
    </row>
    <row r="363" spans="11:11" x14ac:dyDescent="0.4">
      <c r="K363" s="1" t="s">
        <v>366</v>
      </c>
    </row>
    <row r="364" spans="11:11" x14ac:dyDescent="0.4">
      <c r="K364" s="1" t="s">
        <v>367</v>
      </c>
    </row>
    <row r="365" spans="11:11" x14ac:dyDescent="0.4">
      <c r="K365" s="1" t="s">
        <v>368</v>
      </c>
    </row>
    <row r="366" spans="11:11" x14ac:dyDescent="0.4">
      <c r="K366" s="1" t="s">
        <v>369</v>
      </c>
    </row>
    <row r="367" spans="11:11" x14ac:dyDescent="0.4">
      <c r="K367" s="1" t="s">
        <v>370</v>
      </c>
    </row>
    <row r="368" spans="11:11" x14ac:dyDescent="0.4">
      <c r="K368" s="1" t="s">
        <v>371</v>
      </c>
    </row>
    <row r="369" spans="11:11" x14ac:dyDescent="0.4">
      <c r="K369" s="1" t="s">
        <v>372</v>
      </c>
    </row>
    <row r="370" spans="11:11" x14ac:dyDescent="0.4">
      <c r="K370" s="1" t="s">
        <v>373</v>
      </c>
    </row>
    <row r="371" spans="11:11" x14ac:dyDescent="0.4">
      <c r="K371" s="1" t="s">
        <v>374</v>
      </c>
    </row>
    <row r="372" spans="11:11" x14ac:dyDescent="0.4">
      <c r="K372" s="1" t="s">
        <v>375</v>
      </c>
    </row>
    <row r="373" spans="11:11" x14ac:dyDescent="0.4">
      <c r="K373" s="1" t="s">
        <v>376</v>
      </c>
    </row>
    <row r="374" spans="11:11" x14ac:dyDescent="0.4">
      <c r="K374" s="1" t="s">
        <v>377</v>
      </c>
    </row>
    <row r="375" spans="11:11" x14ac:dyDescent="0.4">
      <c r="K375" s="1" t="s">
        <v>378</v>
      </c>
    </row>
    <row r="376" spans="11:11" x14ac:dyDescent="0.4">
      <c r="K376" s="1" t="s">
        <v>379</v>
      </c>
    </row>
    <row r="377" spans="11:11" x14ac:dyDescent="0.4">
      <c r="K377" s="1" t="s">
        <v>380</v>
      </c>
    </row>
    <row r="378" spans="11:11" x14ac:dyDescent="0.4">
      <c r="K378" s="1" t="s">
        <v>381</v>
      </c>
    </row>
    <row r="379" spans="11:11" x14ac:dyDescent="0.4">
      <c r="K379" s="1" t="s">
        <v>382</v>
      </c>
    </row>
    <row r="380" spans="11:11" x14ac:dyDescent="0.4">
      <c r="K380" s="1" t="s">
        <v>383</v>
      </c>
    </row>
    <row r="381" spans="11:11" x14ac:dyDescent="0.4">
      <c r="K381" s="1" t="s">
        <v>384</v>
      </c>
    </row>
    <row r="382" spans="11:11" x14ac:dyDescent="0.4">
      <c r="K382" s="1" t="s">
        <v>385</v>
      </c>
    </row>
    <row r="383" spans="11:11" x14ac:dyDescent="0.4">
      <c r="K383" s="1" t="s">
        <v>386</v>
      </c>
    </row>
    <row r="384" spans="11:11" x14ac:dyDescent="0.4">
      <c r="K384" s="1" t="s">
        <v>387</v>
      </c>
    </row>
    <row r="385" spans="11:11" x14ac:dyDescent="0.4">
      <c r="K385" s="1" t="s">
        <v>388</v>
      </c>
    </row>
    <row r="386" spans="11:11" x14ac:dyDescent="0.4">
      <c r="K386" s="1" t="s">
        <v>389</v>
      </c>
    </row>
    <row r="387" spans="11:11" x14ac:dyDescent="0.4">
      <c r="K387" s="1" t="s">
        <v>390</v>
      </c>
    </row>
    <row r="388" spans="11:11" x14ac:dyDescent="0.4">
      <c r="K388" s="1" t="s">
        <v>391</v>
      </c>
    </row>
    <row r="389" spans="11:11" x14ac:dyDescent="0.4">
      <c r="K389" s="1" t="s">
        <v>392</v>
      </c>
    </row>
    <row r="390" spans="11:11" x14ac:dyDescent="0.4">
      <c r="K390" s="1" t="s">
        <v>393</v>
      </c>
    </row>
    <row r="391" spans="11:11" x14ac:dyDescent="0.4">
      <c r="K391" s="1" t="s">
        <v>394</v>
      </c>
    </row>
    <row r="392" spans="11:11" x14ac:dyDescent="0.4">
      <c r="K392" s="1" t="s">
        <v>395</v>
      </c>
    </row>
    <row r="393" spans="11:11" x14ac:dyDescent="0.4">
      <c r="K393" s="1" t="s">
        <v>396</v>
      </c>
    </row>
    <row r="394" spans="11:11" x14ac:dyDescent="0.4">
      <c r="K394" s="1" t="s">
        <v>397</v>
      </c>
    </row>
    <row r="395" spans="11:11" x14ac:dyDescent="0.4">
      <c r="K395" s="1" t="s">
        <v>398</v>
      </c>
    </row>
    <row r="396" spans="11:11" x14ac:dyDescent="0.4">
      <c r="K396" s="1" t="s">
        <v>399</v>
      </c>
    </row>
    <row r="397" spans="11:11" x14ac:dyDescent="0.4">
      <c r="K397" s="1" t="s">
        <v>400</v>
      </c>
    </row>
    <row r="398" spans="11:11" x14ac:dyDescent="0.4">
      <c r="K398" s="1" t="s">
        <v>401</v>
      </c>
    </row>
    <row r="399" spans="11:11" x14ac:dyDescent="0.4">
      <c r="K399" s="1" t="s">
        <v>402</v>
      </c>
    </row>
    <row r="400" spans="11:11" x14ac:dyDescent="0.4">
      <c r="K400" s="1" t="s">
        <v>403</v>
      </c>
    </row>
    <row r="401" spans="11:11" x14ac:dyDescent="0.4">
      <c r="K401" s="1" t="s">
        <v>404</v>
      </c>
    </row>
    <row r="402" spans="11:11" x14ac:dyDescent="0.4">
      <c r="K402" s="1" t="s">
        <v>405</v>
      </c>
    </row>
    <row r="403" spans="11:11" x14ac:dyDescent="0.4">
      <c r="K403" s="1" t="s">
        <v>406</v>
      </c>
    </row>
    <row r="404" spans="11:11" x14ac:dyDescent="0.4">
      <c r="K404" s="1" t="s">
        <v>407</v>
      </c>
    </row>
    <row r="405" spans="11:11" x14ac:dyDescent="0.4">
      <c r="K405" s="1" t="s">
        <v>408</v>
      </c>
    </row>
    <row r="406" spans="11:11" x14ac:dyDescent="0.4">
      <c r="K406" s="1" t="s">
        <v>409</v>
      </c>
    </row>
    <row r="407" spans="11:11" x14ac:dyDescent="0.4">
      <c r="K407" s="1" t="s">
        <v>410</v>
      </c>
    </row>
    <row r="408" spans="11:11" x14ac:dyDescent="0.4">
      <c r="K408" s="1" t="s">
        <v>411</v>
      </c>
    </row>
    <row r="409" spans="11:11" x14ac:dyDescent="0.4">
      <c r="K409" s="1" t="s">
        <v>412</v>
      </c>
    </row>
    <row r="410" spans="11:11" x14ac:dyDescent="0.4">
      <c r="K410" s="1" t="s">
        <v>413</v>
      </c>
    </row>
    <row r="411" spans="11:11" x14ac:dyDescent="0.4">
      <c r="K411" s="1" t="s">
        <v>414</v>
      </c>
    </row>
    <row r="412" spans="11:11" x14ac:dyDescent="0.4">
      <c r="K412" s="1" t="s">
        <v>415</v>
      </c>
    </row>
    <row r="413" spans="11:11" x14ac:dyDescent="0.4">
      <c r="K413" s="1" t="s">
        <v>416</v>
      </c>
    </row>
    <row r="414" spans="11:11" x14ac:dyDescent="0.4">
      <c r="K414" s="1" t="s">
        <v>417</v>
      </c>
    </row>
    <row r="415" spans="11:11" x14ac:dyDescent="0.4">
      <c r="K415" s="1" t="s">
        <v>418</v>
      </c>
    </row>
    <row r="416" spans="11:11" x14ac:dyDescent="0.4">
      <c r="K416" s="1" t="s">
        <v>419</v>
      </c>
    </row>
    <row r="417" spans="11:11" x14ac:dyDescent="0.4">
      <c r="K417" s="1" t="s">
        <v>420</v>
      </c>
    </row>
    <row r="418" spans="11:11" x14ac:dyDescent="0.4">
      <c r="K418" s="1" t="s">
        <v>421</v>
      </c>
    </row>
    <row r="419" spans="11:11" x14ac:dyDescent="0.4">
      <c r="K419" s="1" t="s">
        <v>422</v>
      </c>
    </row>
    <row r="420" spans="11:11" x14ac:dyDescent="0.4">
      <c r="K420" s="1" t="s">
        <v>423</v>
      </c>
    </row>
    <row r="421" spans="11:11" x14ac:dyDescent="0.4">
      <c r="K421" s="1" t="s">
        <v>424</v>
      </c>
    </row>
    <row r="422" spans="11:11" x14ac:dyDescent="0.4">
      <c r="K422" s="1" t="s">
        <v>425</v>
      </c>
    </row>
    <row r="423" spans="11:11" x14ac:dyDescent="0.4">
      <c r="K423" s="1" t="s">
        <v>426</v>
      </c>
    </row>
    <row r="424" spans="11:11" x14ac:dyDescent="0.4">
      <c r="K424" s="1" t="s">
        <v>427</v>
      </c>
    </row>
    <row r="425" spans="11:11" x14ac:dyDescent="0.4">
      <c r="K425" s="1" t="s">
        <v>428</v>
      </c>
    </row>
    <row r="426" spans="11:11" x14ac:dyDescent="0.4">
      <c r="K426" s="1" t="s">
        <v>429</v>
      </c>
    </row>
    <row r="427" spans="11:11" x14ac:dyDescent="0.4">
      <c r="K427" s="1" t="s">
        <v>430</v>
      </c>
    </row>
  </sheetData>
  <dataValidations count="1">
    <dataValidation type="list" allowBlank="1" showInputMessage="1" showErrorMessage="1" sqref="B2:B429" xr:uid="{E7C8AAE2-28A0-418E-964D-328EB13DE66C}">
      <formula1>$K$2:$K$427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DF113-8162-4A48-B794-5EF237D22AE7}">
  <sheetPr codeName="Hoja3"/>
  <dimension ref="A1:J60"/>
  <sheetViews>
    <sheetView tabSelected="1" topLeftCell="A43" workbookViewId="0"/>
  </sheetViews>
  <sheetFormatPr baseColWidth="10" defaultRowHeight="14.6" x14ac:dyDescent="0.4"/>
  <cols>
    <col min="4" max="4" width="11.07421875" style="2"/>
    <col min="8" max="9" width="11.07421875" style="2"/>
    <col min="10" max="10" width="13.4609375" style="2" bestFit="1" customWidth="1"/>
  </cols>
  <sheetData>
    <row r="1" spans="1:10" x14ac:dyDescent="0.4">
      <c r="A1" t="s">
        <v>451</v>
      </c>
      <c r="B1" t="s">
        <v>2</v>
      </c>
      <c r="C1" t="s">
        <v>452</v>
      </c>
      <c r="D1" s="2" t="s">
        <v>453</v>
      </c>
      <c r="E1" t="s">
        <v>454</v>
      </c>
      <c r="F1" t="s">
        <v>455</v>
      </c>
      <c r="G1" t="s">
        <v>456</v>
      </c>
      <c r="H1" s="2" t="s">
        <v>457</v>
      </c>
      <c r="I1" s="2" t="s">
        <v>458</v>
      </c>
      <c r="J1" s="2" t="s">
        <v>459</v>
      </c>
    </row>
    <row r="2" spans="1:10" x14ac:dyDescent="0.4">
      <c r="A2" s="1" t="s">
        <v>431</v>
      </c>
      <c r="B2" t="s">
        <v>444</v>
      </c>
      <c r="C2" t="s">
        <v>433</v>
      </c>
      <c r="D2" s="2">
        <v>265</v>
      </c>
      <c r="E2" s="1" t="s">
        <v>460</v>
      </c>
      <c r="F2" t="s">
        <v>461</v>
      </c>
      <c r="G2" t="s">
        <v>433</v>
      </c>
      <c r="H2" s="2">
        <v>1</v>
      </c>
      <c r="I2" s="2">
        <v>55000</v>
      </c>
      <c r="J2" s="2">
        <v>14575000</v>
      </c>
    </row>
    <row r="3" spans="1:10" x14ac:dyDescent="0.4">
      <c r="A3" s="1" t="s">
        <v>434</v>
      </c>
      <c r="B3" t="s">
        <v>446</v>
      </c>
      <c r="C3" t="s">
        <v>433</v>
      </c>
      <c r="D3" s="2">
        <v>88</v>
      </c>
      <c r="E3" s="1" t="s">
        <v>462</v>
      </c>
      <c r="F3" t="s">
        <v>463</v>
      </c>
      <c r="G3" t="s">
        <v>433</v>
      </c>
      <c r="H3" s="2">
        <v>1</v>
      </c>
      <c r="I3" s="2">
        <v>450000</v>
      </c>
      <c r="J3" s="2">
        <v>39600000</v>
      </c>
    </row>
    <row r="4" spans="1:10" x14ac:dyDescent="0.4">
      <c r="A4" s="1" t="s">
        <v>434</v>
      </c>
      <c r="B4" t="s">
        <v>446</v>
      </c>
      <c r="C4" t="s">
        <v>433</v>
      </c>
      <c r="D4" s="2">
        <v>88</v>
      </c>
      <c r="E4" s="1" t="s">
        <v>464</v>
      </c>
      <c r="F4" t="s">
        <v>465</v>
      </c>
      <c r="G4" t="s">
        <v>466</v>
      </c>
      <c r="H4" s="2">
        <v>90</v>
      </c>
      <c r="I4" s="2">
        <v>1765.9459459459458</v>
      </c>
      <c r="J4" s="2">
        <v>13986291.891891891</v>
      </c>
    </row>
    <row r="5" spans="1:10" x14ac:dyDescent="0.4">
      <c r="A5" s="1" t="s">
        <v>434</v>
      </c>
      <c r="B5" t="s">
        <v>446</v>
      </c>
      <c r="C5" t="s">
        <v>433</v>
      </c>
      <c r="D5" s="2">
        <v>88</v>
      </c>
      <c r="E5" s="1" t="s">
        <v>467</v>
      </c>
      <c r="F5" t="s">
        <v>468</v>
      </c>
      <c r="G5" t="s">
        <v>433</v>
      </c>
      <c r="H5" s="2">
        <v>1.05</v>
      </c>
      <c r="I5" s="2">
        <v>318230</v>
      </c>
      <c r="J5" s="2">
        <v>29404452</v>
      </c>
    </row>
    <row r="6" spans="1:10" x14ac:dyDescent="0.4">
      <c r="A6" s="1" t="s">
        <v>436</v>
      </c>
      <c r="B6" t="s">
        <v>445</v>
      </c>
      <c r="C6" t="s">
        <v>433</v>
      </c>
      <c r="D6" s="2">
        <v>33</v>
      </c>
      <c r="E6" s="1" t="s">
        <v>469</v>
      </c>
      <c r="F6" t="s">
        <v>470</v>
      </c>
      <c r="G6" t="s">
        <v>433</v>
      </c>
      <c r="H6" s="2">
        <v>1</v>
      </c>
      <c r="I6" s="2">
        <v>500000</v>
      </c>
      <c r="J6" s="2">
        <v>16500000</v>
      </c>
    </row>
    <row r="7" spans="1:10" x14ac:dyDescent="0.4">
      <c r="A7" s="1" t="s">
        <v>436</v>
      </c>
      <c r="B7" t="s">
        <v>445</v>
      </c>
      <c r="C7" t="s">
        <v>433</v>
      </c>
      <c r="D7" s="2">
        <v>33</v>
      </c>
      <c r="E7" s="1" t="s">
        <v>464</v>
      </c>
      <c r="F7" t="s">
        <v>465</v>
      </c>
      <c r="G7" t="s">
        <v>466</v>
      </c>
      <c r="H7" s="2">
        <v>60</v>
      </c>
      <c r="I7" s="2">
        <v>1765.9459459459458</v>
      </c>
      <c r="J7" s="2">
        <v>3496572.9729729728</v>
      </c>
    </row>
    <row r="8" spans="1:10" x14ac:dyDescent="0.4">
      <c r="A8" s="1" t="s">
        <v>436</v>
      </c>
      <c r="B8" t="s">
        <v>445</v>
      </c>
      <c r="C8" t="s">
        <v>433</v>
      </c>
      <c r="D8" s="2">
        <v>33</v>
      </c>
      <c r="E8" s="1" t="s">
        <v>471</v>
      </c>
      <c r="F8" t="s">
        <v>472</v>
      </c>
      <c r="G8" t="s">
        <v>433</v>
      </c>
      <c r="H8" s="2">
        <v>1.05</v>
      </c>
      <c r="I8" s="2">
        <v>318230</v>
      </c>
      <c r="J8" s="2">
        <v>11026669.5</v>
      </c>
    </row>
    <row r="9" spans="1:10" x14ac:dyDescent="0.4">
      <c r="A9" s="1" t="s">
        <v>438</v>
      </c>
      <c r="B9" t="s">
        <v>448</v>
      </c>
      <c r="C9" t="s">
        <v>433</v>
      </c>
      <c r="D9" s="2">
        <v>7</v>
      </c>
      <c r="E9" s="1" t="s">
        <v>473</v>
      </c>
      <c r="F9" t="s">
        <v>474</v>
      </c>
      <c r="G9" t="s">
        <v>433</v>
      </c>
      <c r="H9" s="2">
        <v>1</v>
      </c>
      <c r="I9" s="2">
        <v>400000</v>
      </c>
      <c r="J9" s="2">
        <v>2800000</v>
      </c>
    </row>
    <row r="10" spans="1:10" x14ac:dyDescent="0.4">
      <c r="A10" s="1" t="s">
        <v>438</v>
      </c>
      <c r="B10" t="s">
        <v>448</v>
      </c>
      <c r="C10" t="s">
        <v>433</v>
      </c>
      <c r="D10" s="2">
        <v>7</v>
      </c>
      <c r="E10" s="1" t="s">
        <v>464</v>
      </c>
      <c r="F10" t="s">
        <v>465</v>
      </c>
      <c r="G10" t="s">
        <v>466</v>
      </c>
      <c r="H10" s="2">
        <v>90</v>
      </c>
      <c r="I10" s="2">
        <v>1765.9459459459458</v>
      </c>
      <c r="J10" s="2">
        <v>1112545.9459459458</v>
      </c>
    </row>
    <row r="11" spans="1:10" x14ac:dyDescent="0.4">
      <c r="A11" s="1" t="s">
        <v>438</v>
      </c>
      <c r="B11" t="s">
        <v>448</v>
      </c>
      <c r="C11" t="s">
        <v>433</v>
      </c>
      <c r="D11" s="2">
        <v>7</v>
      </c>
      <c r="E11" s="1" t="s">
        <v>475</v>
      </c>
      <c r="F11" t="s">
        <v>476</v>
      </c>
      <c r="G11" t="s">
        <v>466</v>
      </c>
      <c r="H11" s="2">
        <v>0.77</v>
      </c>
      <c r="I11" s="2">
        <v>4719</v>
      </c>
      <c r="J11" s="2">
        <v>25435.41</v>
      </c>
    </row>
    <row r="12" spans="1:10" x14ac:dyDescent="0.4">
      <c r="A12" s="1" t="s">
        <v>438</v>
      </c>
      <c r="B12" t="s">
        <v>448</v>
      </c>
      <c r="C12" t="s">
        <v>433</v>
      </c>
      <c r="D12" s="2">
        <v>7</v>
      </c>
      <c r="E12" s="1" t="s">
        <v>477</v>
      </c>
      <c r="F12" t="s">
        <v>478</v>
      </c>
      <c r="G12" t="s">
        <v>466</v>
      </c>
      <c r="H12" s="2">
        <v>2</v>
      </c>
      <c r="I12" s="2">
        <v>4559.28</v>
      </c>
      <c r="J12" s="2">
        <v>63829.919999999998</v>
      </c>
    </row>
    <row r="13" spans="1:10" x14ac:dyDescent="0.4">
      <c r="A13" s="1" t="s">
        <v>438</v>
      </c>
      <c r="B13" t="s">
        <v>448</v>
      </c>
      <c r="C13" t="s">
        <v>433</v>
      </c>
      <c r="D13" s="2">
        <v>7</v>
      </c>
      <c r="E13" s="1" t="s">
        <v>479</v>
      </c>
      <c r="F13" t="s">
        <v>480</v>
      </c>
      <c r="G13" t="s">
        <v>443</v>
      </c>
      <c r="H13" s="2">
        <v>7</v>
      </c>
      <c r="I13" s="2">
        <v>12800</v>
      </c>
      <c r="J13" s="2">
        <v>627200</v>
      </c>
    </row>
    <row r="14" spans="1:10" x14ac:dyDescent="0.4">
      <c r="A14" s="1" t="s">
        <v>438</v>
      </c>
      <c r="B14" t="s">
        <v>448</v>
      </c>
      <c r="C14" t="s">
        <v>433</v>
      </c>
      <c r="D14" s="2">
        <v>7</v>
      </c>
      <c r="E14" s="1" t="s">
        <v>481</v>
      </c>
      <c r="F14" t="s">
        <v>482</v>
      </c>
      <c r="G14" t="s">
        <v>483</v>
      </c>
      <c r="H14" s="2">
        <v>0.4</v>
      </c>
      <c r="I14" s="2">
        <v>3296.0928961748627</v>
      </c>
      <c r="J14" s="2">
        <v>9229.0601092896159</v>
      </c>
    </row>
    <row r="15" spans="1:10" x14ac:dyDescent="0.4">
      <c r="A15" s="1" t="s">
        <v>438</v>
      </c>
      <c r="B15" t="s">
        <v>448</v>
      </c>
      <c r="C15" t="s">
        <v>433</v>
      </c>
      <c r="D15" s="2">
        <v>7</v>
      </c>
      <c r="E15" s="1" t="s">
        <v>467</v>
      </c>
      <c r="F15" t="s">
        <v>468</v>
      </c>
      <c r="G15" t="s">
        <v>433</v>
      </c>
      <c r="H15" s="2">
        <v>1.05</v>
      </c>
      <c r="I15" s="2">
        <v>318230</v>
      </c>
      <c r="J15" s="2">
        <v>2338990.5</v>
      </c>
    </row>
    <row r="16" spans="1:10" x14ac:dyDescent="0.4">
      <c r="A16" s="1" t="s">
        <v>440</v>
      </c>
      <c r="B16" t="s">
        <v>447</v>
      </c>
      <c r="C16" t="s">
        <v>433</v>
      </c>
      <c r="D16" s="2">
        <v>35</v>
      </c>
      <c r="E16" s="1" t="s">
        <v>484</v>
      </c>
      <c r="F16" t="s">
        <v>485</v>
      </c>
      <c r="G16" t="s">
        <v>433</v>
      </c>
      <c r="H16" s="2">
        <v>1</v>
      </c>
      <c r="I16" s="2">
        <v>600000</v>
      </c>
      <c r="J16" s="2">
        <v>21000000</v>
      </c>
    </row>
    <row r="17" spans="1:10" x14ac:dyDescent="0.4">
      <c r="A17" s="1" t="s">
        <v>440</v>
      </c>
      <c r="B17" t="s">
        <v>447</v>
      </c>
      <c r="C17" t="s">
        <v>433</v>
      </c>
      <c r="D17" s="2">
        <v>35</v>
      </c>
      <c r="E17" s="1" t="s">
        <v>464</v>
      </c>
      <c r="F17" t="s">
        <v>465</v>
      </c>
      <c r="G17" t="s">
        <v>466</v>
      </c>
      <c r="H17" s="2">
        <v>150</v>
      </c>
      <c r="I17" s="2">
        <v>1765.9459459459458</v>
      </c>
      <c r="J17" s="2">
        <v>9271216.2162162159</v>
      </c>
    </row>
    <row r="18" spans="1:10" x14ac:dyDescent="0.4">
      <c r="A18" s="1" t="s">
        <v>440</v>
      </c>
      <c r="B18" t="s">
        <v>447</v>
      </c>
      <c r="C18" t="s">
        <v>433</v>
      </c>
      <c r="D18" s="2">
        <v>35</v>
      </c>
      <c r="E18" s="1" t="s">
        <v>475</v>
      </c>
      <c r="F18" t="s">
        <v>476</v>
      </c>
      <c r="G18" t="s">
        <v>466</v>
      </c>
      <c r="H18" s="2">
        <v>0.85</v>
      </c>
      <c r="I18" s="2">
        <v>4719</v>
      </c>
      <c r="J18" s="2">
        <v>140390.25</v>
      </c>
    </row>
    <row r="19" spans="1:10" x14ac:dyDescent="0.4">
      <c r="A19" s="1" t="s">
        <v>440</v>
      </c>
      <c r="B19" t="s">
        <v>447</v>
      </c>
      <c r="C19" t="s">
        <v>433</v>
      </c>
      <c r="D19" s="2">
        <v>35</v>
      </c>
      <c r="E19" s="1" t="s">
        <v>477</v>
      </c>
      <c r="F19" t="s">
        <v>478</v>
      </c>
      <c r="G19" t="s">
        <v>466</v>
      </c>
      <c r="H19" s="2">
        <v>1.5</v>
      </c>
      <c r="I19" s="2">
        <v>4559.28</v>
      </c>
      <c r="J19" s="2">
        <v>239362.19999999998</v>
      </c>
    </row>
    <row r="20" spans="1:10" x14ac:dyDescent="0.4">
      <c r="A20" s="1" t="s">
        <v>440</v>
      </c>
      <c r="B20" t="s">
        <v>447</v>
      </c>
      <c r="C20" t="s">
        <v>433</v>
      </c>
      <c r="D20" s="2">
        <v>35</v>
      </c>
      <c r="E20" s="1" t="s">
        <v>479</v>
      </c>
      <c r="F20" t="s">
        <v>480</v>
      </c>
      <c r="G20" t="s">
        <v>443</v>
      </c>
      <c r="H20" s="2">
        <v>5</v>
      </c>
      <c r="I20" s="2">
        <v>12800</v>
      </c>
      <c r="J20" s="2">
        <v>2240000</v>
      </c>
    </row>
    <row r="21" spans="1:10" x14ac:dyDescent="0.4">
      <c r="A21" s="1" t="s">
        <v>440</v>
      </c>
      <c r="B21" t="s">
        <v>447</v>
      </c>
      <c r="C21" t="s">
        <v>433</v>
      </c>
      <c r="D21" s="2">
        <v>35</v>
      </c>
      <c r="E21" s="1" t="s">
        <v>481</v>
      </c>
      <c r="F21" t="s">
        <v>482</v>
      </c>
      <c r="G21" t="s">
        <v>483</v>
      </c>
      <c r="H21" s="2">
        <v>11</v>
      </c>
      <c r="I21" s="2">
        <v>3296.0928961748627</v>
      </c>
      <c r="J21" s="2">
        <v>1268995.7650273221</v>
      </c>
    </row>
    <row r="22" spans="1:10" x14ac:dyDescent="0.4">
      <c r="A22" s="1" t="s">
        <v>440</v>
      </c>
      <c r="B22" t="s">
        <v>447</v>
      </c>
      <c r="C22" t="s">
        <v>433</v>
      </c>
      <c r="D22" s="2">
        <v>35</v>
      </c>
      <c r="E22" s="1" t="s">
        <v>467</v>
      </c>
      <c r="F22" t="s">
        <v>468</v>
      </c>
      <c r="G22" t="s">
        <v>433</v>
      </c>
      <c r="H22" s="2">
        <v>1.05</v>
      </c>
      <c r="I22" s="2">
        <v>318230</v>
      </c>
      <c r="J22" s="2">
        <v>11694952.5</v>
      </c>
    </row>
    <row r="23" spans="1:10" x14ac:dyDescent="0.4">
      <c r="A23" s="1" t="s">
        <v>495</v>
      </c>
      <c r="B23" t="s">
        <v>500</v>
      </c>
      <c r="C23" t="s">
        <v>443</v>
      </c>
      <c r="D23" s="2">
        <v>650</v>
      </c>
      <c r="E23" s="1" t="s">
        <v>506</v>
      </c>
      <c r="F23" t="s">
        <v>507</v>
      </c>
      <c r="G23" t="s">
        <v>492</v>
      </c>
      <c r="H23" s="2">
        <v>0.05</v>
      </c>
      <c r="I23" s="2">
        <v>15000</v>
      </c>
      <c r="J23" s="2">
        <v>487500</v>
      </c>
    </row>
    <row r="24" spans="1:10" x14ac:dyDescent="0.4">
      <c r="A24" s="1" t="s">
        <v>495</v>
      </c>
      <c r="B24" t="s">
        <v>500</v>
      </c>
      <c r="C24" t="s">
        <v>443</v>
      </c>
      <c r="D24" s="2">
        <v>650</v>
      </c>
      <c r="E24" s="1" t="s">
        <v>508</v>
      </c>
      <c r="F24" t="s">
        <v>509</v>
      </c>
      <c r="G24" t="s">
        <v>492</v>
      </c>
      <c r="H24" s="2">
        <v>0.1</v>
      </c>
      <c r="I24" s="2">
        <v>10000</v>
      </c>
      <c r="J24" s="2">
        <v>650000</v>
      </c>
    </row>
    <row r="25" spans="1:10" x14ac:dyDescent="0.4">
      <c r="A25" s="1" t="s">
        <v>495</v>
      </c>
      <c r="B25" t="s">
        <v>500</v>
      </c>
      <c r="C25" t="s">
        <v>443</v>
      </c>
      <c r="D25" s="2">
        <v>650</v>
      </c>
      <c r="E25" s="1" t="s">
        <v>488</v>
      </c>
      <c r="F25" t="s">
        <v>489</v>
      </c>
      <c r="G25" t="s">
        <v>466</v>
      </c>
      <c r="H25" s="2">
        <v>3.5</v>
      </c>
      <c r="I25" s="2">
        <v>4638.333333333333</v>
      </c>
      <c r="J25" s="2">
        <v>10552208.333333332</v>
      </c>
    </row>
    <row r="26" spans="1:10" x14ac:dyDescent="0.4">
      <c r="A26" s="1" t="s">
        <v>495</v>
      </c>
      <c r="B26" t="s">
        <v>500</v>
      </c>
      <c r="C26" t="s">
        <v>443</v>
      </c>
      <c r="D26" s="2">
        <v>650</v>
      </c>
      <c r="E26" s="1" t="s">
        <v>475</v>
      </c>
      <c r="F26" t="s">
        <v>476</v>
      </c>
      <c r="G26" t="s">
        <v>466</v>
      </c>
      <c r="H26" s="2">
        <v>0.06</v>
      </c>
      <c r="I26" s="2">
        <v>4719</v>
      </c>
      <c r="J26" s="2">
        <v>184041</v>
      </c>
    </row>
    <row r="27" spans="1:10" x14ac:dyDescent="0.4">
      <c r="A27" s="1" t="s">
        <v>497</v>
      </c>
      <c r="B27" t="s">
        <v>501</v>
      </c>
      <c r="C27" t="s">
        <v>443</v>
      </c>
      <c r="D27" s="2">
        <v>650</v>
      </c>
      <c r="E27" s="1" t="s">
        <v>506</v>
      </c>
      <c r="F27" t="s">
        <v>507</v>
      </c>
      <c r="G27" t="s">
        <v>492</v>
      </c>
      <c r="H27" s="2">
        <v>0.1</v>
      </c>
      <c r="I27" s="2">
        <v>15000</v>
      </c>
      <c r="J27" s="2">
        <v>975000</v>
      </c>
    </row>
    <row r="28" spans="1:10" x14ac:dyDescent="0.4">
      <c r="A28" s="1" t="s">
        <v>497</v>
      </c>
      <c r="B28" t="s">
        <v>501</v>
      </c>
      <c r="C28" t="s">
        <v>443</v>
      </c>
      <c r="D28" s="2">
        <v>650</v>
      </c>
      <c r="E28" s="1" t="s">
        <v>508</v>
      </c>
      <c r="F28" t="s">
        <v>509</v>
      </c>
      <c r="G28" t="s">
        <v>492</v>
      </c>
      <c r="H28" s="2">
        <v>0.6</v>
      </c>
      <c r="I28" s="2">
        <v>10000</v>
      </c>
      <c r="J28" s="2">
        <v>3900000</v>
      </c>
    </row>
    <row r="29" spans="1:10" x14ac:dyDescent="0.4">
      <c r="A29" s="1" t="s">
        <v>497</v>
      </c>
      <c r="B29" t="s">
        <v>501</v>
      </c>
      <c r="C29" t="s">
        <v>443</v>
      </c>
      <c r="D29" s="2">
        <v>650</v>
      </c>
      <c r="E29" s="1" t="s">
        <v>467</v>
      </c>
      <c r="F29" t="s">
        <v>468</v>
      </c>
      <c r="G29" t="s">
        <v>433</v>
      </c>
      <c r="H29" s="2">
        <v>7.0000000000000007E-2</v>
      </c>
      <c r="I29" s="2">
        <v>318230</v>
      </c>
      <c r="J29" s="2">
        <v>14479465.000000002</v>
      </c>
    </row>
    <row r="30" spans="1:10" x14ac:dyDescent="0.4">
      <c r="A30" s="1" t="s">
        <v>499</v>
      </c>
      <c r="B30" t="s">
        <v>502</v>
      </c>
      <c r="C30" t="s">
        <v>443</v>
      </c>
      <c r="D30" s="2">
        <v>650</v>
      </c>
      <c r="E30" s="1" t="s">
        <v>506</v>
      </c>
      <c r="F30" t="s">
        <v>507</v>
      </c>
      <c r="G30" t="s">
        <v>492</v>
      </c>
      <c r="H30" s="2">
        <v>0.05</v>
      </c>
      <c r="I30" s="2">
        <v>15000</v>
      </c>
      <c r="J30" s="2">
        <v>487500</v>
      </c>
    </row>
    <row r="31" spans="1:10" x14ac:dyDescent="0.4">
      <c r="A31" s="1" t="s">
        <v>499</v>
      </c>
      <c r="B31" t="s">
        <v>502</v>
      </c>
      <c r="C31" t="s">
        <v>443</v>
      </c>
      <c r="D31" s="2">
        <v>650</v>
      </c>
      <c r="E31" s="1" t="s">
        <v>508</v>
      </c>
      <c r="F31" t="s">
        <v>509</v>
      </c>
      <c r="G31" t="s">
        <v>492</v>
      </c>
      <c r="H31" s="2">
        <v>0.15</v>
      </c>
      <c r="I31" s="2">
        <v>10000</v>
      </c>
      <c r="J31" s="2">
        <v>975000</v>
      </c>
    </row>
    <row r="32" spans="1:10" x14ac:dyDescent="0.4">
      <c r="A32" s="1" t="s">
        <v>499</v>
      </c>
      <c r="B32" t="s">
        <v>502</v>
      </c>
      <c r="C32" t="s">
        <v>443</v>
      </c>
      <c r="D32" s="2">
        <v>650</v>
      </c>
      <c r="E32" s="1" t="s">
        <v>486</v>
      </c>
      <c r="F32" t="s">
        <v>487</v>
      </c>
      <c r="G32" t="s">
        <v>443</v>
      </c>
      <c r="H32" s="2">
        <v>1</v>
      </c>
      <c r="I32" s="2">
        <v>92507.645259938843</v>
      </c>
      <c r="J32" s="2">
        <v>60129969.418960251</v>
      </c>
    </row>
    <row r="33" spans="1:10" x14ac:dyDescent="0.4">
      <c r="A33" s="1" t="s">
        <v>499</v>
      </c>
      <c r="B33" t="s">
        <v>502</v>
      </c>
      <c r="C33" t="s">
        <v>443</v>
      </c>
      <c r="D33" s="2">
        <v>650</v>
      </c>
      <c r="E33" s="1" t="s">
        <v>490</v>
      </c>
      <c r="F33" t="s">
        <v>491</v>
      </c>
      <c r="G33" t="s">
        <v>492</v>
      </c>
      <c r="H33" s="2">
        <v>0.03</v>
      </c>
      <c r="I33" s="2">
        <v>300000</v>
      </c>
      <c r="J33" s="2">
        <v>5850000</v>
      </c>
    </row>
    <row r="34" spans="1:10" x14ac:dyDescent="0.4">
      <c r="A34" s="1" t="s">
        <v>438</v>
      </c>
      <c r="B34" t="s">
        <v>449</v>
      </c>
      <c r="C34" t="s">
        <v>433</v>
      </c>
      <c r="D34" s="2">
        <v>8</v>
      </c>
      <c r="E34" s="1" t="s">
        <v>473</v>
      </c>
      <c r="F34" t="s">
        <v>474</v>
      </c>
      <c r="G34" t="s">
        <v>433</v>
      </c>
      <c r="H34" s="2">
        <v>1</v>
      </c>
      <c r="I34" s="2">
        <v>400000</v>
      </c>
      <c r="J34" s="2">
        <v>3200000</v>
      </c>
    </row>
    <row r="35" spans="1:10" x14ac:dyDescent="0.4">
      <c r="A35" s="1" t="s">
        <v>438</v>
      </c>
      <c r="B35" t="s">
        <v>449</v>
      </c>
      <c r="C35" t="s">
        <v>433</v>
      </c>
      <c r="D35" s="2">
        <v>8</v>
      </c>
      <c r="E35" s="1" t="s">
        <v>464</v>
      </c>
      <c r="F35" t="s">
        <v>465</v>
      </c>
      <c r="G35" t="s">
        <v>466</v>
      </c>
      <c r="H35" s="2">
        <v>90</v>
      </c>
      <c r="I35" s="2">
        <v>1765.9459459459458</v>
      </c>
      <c r="J35" s="2">
        <v>1271481.0810810809</v>
      </c>
    </row>
    <row r="36" spans="1:10" x14ac:dyDescent="0.4">
      <c r="A36" s="1" t="s">
        <v>438</v>
      </c>
      <c r="B36" t="s">
        <v>449</v>
      </c>
      <c r="C36" t="s">
        <v>433</v>
      </c>
      <c r="D36" s="2">
        <v>8</v>
      </c>
      <c r="E36" s="1" t="s">
        <v>475</v>
      </c>
      <c r="F36" t="s">
        <v>476</v>
      </c>
      <c r="G36" t="s">
        <v>466</v>
      </c>
      <c r="H36" s="2">
        <v>0.77</v>
      </c>
      <c r="I36" s="2">
        <v>4719</v>
      </c>
      <c r="J36" s="2">
        <v>29069.040000000001</v>
      </c>
    </row>
    <row r="37" spans="1:10" x14ac:dyDescent="0.4">
      <c r="A37" s="1" t="s">
        <v>438</v>
      </c>
      <c r="B37" t="s">
        <v>449</v>
      </c>
      <c r="C37" t="s">
        <v>433</v>
      </c>
      <c r="D37" s="2">
        <v>8</v>
      </c>
      <c r="E37" s="1" t="s">
        <v>477</v>
      </c>
      <c r="F37" t="s">
        <v>478</v>
      </c>
      <c r="G37" t="s">
        <v>466</v>
      </c>
      <c r="H37" s="2">
        <v>2</v>
      </c>
      <c r="I37" s="2">
        <v>4559.28</v>
      </c>
      <c r="J37" s="2">
        <v>72948.479999999996</v>
      </c>
    </row>
    <row r="38" spans="1:10" x14ac:dyDescent="0.4">
      <c r="A38" s="1" t="s">
        <v>438</v>
      </c>
      <c r="B38" t="s">
        <v>449</v>
      </c>
      <c r="C38" t="s">
        <v>433</v>
      </c>
      <c r="D38" s="2">
        <v>8</v>
      </c>
      <c r="E38" s="1" t="s">
        <v>479</v>
      </c>
      <c r="F38" t="s">
        <v>480</v>
      </c>
      <c r="G38" t="s">
        <v>443</v>
      </c>
      <c r="H38" s="2">
        <v>7</v>
      </c>
      <c r="I38" s="2">
        <v>12800</v>
      </c>
      <c r="J38" s="2">
        <v>716800</v>
      </c>
    </row>
    <row r="39" spans="1:10" x14ac:dyDescent="0.4">
      <c r="A39" s="1" t="s">
        <v>438</v>
      </c>
      <c r="B39" t="s">
        <v>449</v>
      </c>
      <c r="C39" t="s">
        <v>433</v>
      </c>
      <c r="D39" s="2">
        <v>8</v>
      </c>
      <c r="E39" s="1" t="s">
        <v>481</v>
      </c>
      <c r="F39" t="s">
        <v>482</v>
      </c>
      <c r="G39" t="s">
        <v>483</v>
      </c>
      <c r="H39" s="2">
        <v>0.4</v>
      </c>
      <c r="I39" s="2">
        <v>3296.0928961748627</v>
      </c>
      <c r="J39" s="2">
        <v>10547.497267759562</v>
      </c>
    </row>
    <row r="40" spans="1:10" x14ac:dyDescent="0.4">
      <c r="A40" s="1" t="s">
        <v>438</v>
      </c>
      <c r="B40" t="s">
        <v>449</v>
      </c>
      <c r="C40" t="s">
        <v>433</v>
      </c>
      <c r="D40" s="2">
        <v>8</v>
      </c>
      <c r="E40" s="1" t="s">
        <v>467</v>
      </c>
      <c r="F40" t="s">
        <v>468</v>
      </c>
      <c r="G40" t="s">
        <v>433</v>
      </c>
      <c r="H40" s="2">
        <v>1.05</v>
      </c>
      <c r="I40" s="2">
        <v>318230</v>
      </c>
      <c r="J40" s="2">
        <v>2673132</v>
      </c>
    </row>
    <row r="41" spans="1:10" x14ac:dyDescent="0.4">
      <c r="A41" s="1" t="s">
        <v>440</v>
      </c>
      <c r="B41" t="s">
        <v>450</v>
      </c>
      <c r="C41" t="s">
        <v>433</v>
      </c>
      <c r="D41" s="2">
        <v>35</v>
      </c>
      <c r="E41" s="1" t="s">
        <v>484</v>
      </c>
      <c r="F41" t="s">
        <v>485</v>
      </c>
      <c r="G41" t="s">
        <v>433</v>
      </c>
      <c r="H41" s="2">
        <v>1</v>
      </c>
      <c r="I41" s="2">
        <v>600000</v>
      </c>
      <c r="J41" s="2">
        <v>21000000</v>
      </c>
    </row>
    <row r="42" spans="1:10" x14ac:dyDescent="0.4">
      <c r="A42" s="1" t="s">
        <v>440</v>
      </c>
      <c r="B42" t="s">
        <v>450</v>
      </c>
      <c r="C42" t="s">
        <v>433</v>
      </c>
      <c r="D42" s="2">
        <v>35</v>
      </c>
      <c r="E42" s="1" t="s">
        <v>464</v>
      </c>
      <c r="F42" t="s">
        <v>465</v>
      </c>
      <c r="G42" t="s">
        <v>466</v>
      </c>
      <c r="H42" s="2">
        <v>150</v>
      </c>
      <c r="I42" s="2">
        <v>1765.9459459459458</v>
      </c>
      <c r="J42" s="2">
        <v>9271216.2162162159</v>
      </c>
    </row>
    <row r="43" spans="1:10" x14ac:dyDescent="0.4">
      <c r="A43" s="1" t="s">
        <v>440</v>
      </c>
      <c r="B43" t="s">
        <v>450</v>
      </c>
      <c r="C43" t="s">
        <v>433</v>
      </c>
      <c r="D43" s="2">
        <v>35</v>
      </c>
      <c r="E43" s="1" t="s">
        <v>475</v>
      </c>
      <c r="F43" t="s">
        <v>476</v>
      </c>
      <c r="G43" t="s">
        <v>466</v>
      </c>
      <c r="H43" s="2">
        <v>0.85</v>
      </c>
      <c r="I43" s="2">
        <v>4719</v>
      </c>
      <c r="J43" s="2">
        <v>140390.25</v>
      </c>
    </row>
    <row r="44" spans="1:10" x14ac:dyDescent="0.4">
      <c r="A44" s="1" t="s">
        <v>440</v>
      </c>
      <c r="B44" t="s">
        <v>450</v>
      </c>
      <c r="C44" t="s">
        <v>433</v>
      </c>
      <c r="D44" s="2">
        <v>35</v>
      </c>
      <c r="E44" s="1" t="s">
        <v>477</v>
      </c>
      <c r="F44" t="s">
        <v>478</v>
      </c>
      <c r="G44" t="s">
        <v>466</v>
      </c>
      <c r="H44" s="2">
        <v>1.5</v>
      </c>
      <c r="I44" s="2">
        <v>4559.28</v>
      </c>
      <c r="J44" s="2">
        <v>239362.19999999998</v>
      </c>
    </row>
    <row r="45" spans="1:10" x14ac:dyDescent="0.4">
      <c r="A45" s="1" t="s">
        <v>440</v>
      </c>
      <c r="B45" t="s">
        <v>450</v>
      </c>
      <c r="C45" t="s">
        <v>433</v>
      </c>
      <c r="D45" s="2">
        <v>35</v>
      </c>
      <c r="E45" s="1" t="s">
        <v>479</v>
      </c>
      <c r="F45" t="s">
        <v>480</v>
      </c>
      <c r="G45" t="s">
        <v>443</v>
      </c>
      <c r="H45" s="2">
        <v>5</v>
      </c>
      <c r="I45" s="2">
        <v>12800</v>
      </c>
      <c r="J45" s="2">
        <v>2240000</v>
      </c>
    </row>
    <row r="46" spans="1:10" x14ac:dyDescent="0.4">
      <c r="A46" s="1" t="s">
        <v>440</v>
      </c>
      <c r="B46" t="s">
        <v>450</v>
      </c>
      <c r="C46" t="s">
        <v>433</v>
      </c>
      <c r="D46" s="2">
        <v>35</v>
      </c>
      <c r="E46" s="1" t="s">
        <v>481</v>
      </c>
      <c r="F46" t="s">
        <v>482</v>
      </c>
      <c r="G46" t="s">
        <v>483</v>
      </c>
      <c r="H46" s="2">
        <v>11</v>
      </c>
      <c r="I46" s="2">
        <v>3296.0928961748627</v>
      </c>
      <c r="J46" s="2">
        <v>1268995.7650273221</v>
      </c>
    </row>
    <row r="47" spans="1:10" x14ac:dyDescent="0.4">
      <c r="A47" s="1" t="s">
        <v>440</v>
      </c>
      <c r="B47" t="s">
        <v>450</v>
      </c>
      <c r="C47" t="s">
        <v>433</v>
      </c>
      <c r="D47" s="2">
        <v>35</v>
      </c>
      <c r="E47" s="1" t="s">
        <v>467</v>
      </c>
      <c r="F47" t="s">
        <v>468</v>
      </c>
      <c r="G47" t="s">
        <v>433</v>
      </c>
      <c r="H47" s="2">
        <v>1.05</v>
      </c>
      <c r="I47" s="2">
        <v>318230</v>
      </c>
      <c r="J47" s="2">
        <v>11694952.5</v>
      </c>
    </row>
    <row r="48" spans="1:10" x14ac:dyDescent="0.4">
      <c r="A48" s="1" t="s">
        <v>495</v>
      </c>
      <c r="B48" t="s">
        <v>503</v>
      </c>
      <c r="C48" t="s">
        <v>443</v>
      </c>
      <c r="D48" s="2">
        <v>710</v>
      </c>
      <c r="E48" s="1" t="s">
        <v>506</v>
      </c>
      <c r="F48" t="s">
        <v>507</v>
      </c>
      <c r="G48" t="s">
        <v>492</v>
      </c>
      <c r="H48" s="2">
        <v>0.05</v>
      </c>
      <c r="I48" s="2">
        <v>15000</v>
      </c>
      <c r="J48" s="2">
        <v>532500</v>
      </c>
    </row>
    <row r="49" spans="1:10" x14ac:dyDescent="0.4">
      <c r="A49" s="1" t="s">
        <v>495</v>
      </c>
      <c r="B49" t="s">
        <v>503</v>
      </c>
      <c r="C49" t="s">
        <v>443</v>
      </c>
      <c r="D49" s="2">
        <v>710</v>
      </c>
      <c r="E49" s="1" t="s">
        <v>508</v>
      </c>
      <c r="F49" t="s">
        <v>509</v>
      </c>
      <c r="G49" t="s">
        <v>492</v>
      </c>
      <c r="H49" s="2">
        <v>0.1</v>
      </c>
      <c r="I49" s="2">
        <v>10000</v>
      </c>
      <c r="J49" s="2">
        <v>710000</v>
      </c>
    </row>
    <row r="50" spans="1:10" x14ac:dyDescent="0.4">
      <c r="A50" s="1" t="s">
        <v>495</v>
      </c>
      <c r="B50" t="s">
        <v>503</v>
      </c>
      <c r="C50" t="s">
        <v>443</v>
      </c>
      <c r="D50" s="2">
        <v>710</v>
      </c>
      <c r="E50" s="1" t="s">
        <v>488</v>
      </c>
      <c r="F50" t="s">
        <v>489</v>
      </c>
      <c r="G50" t="s">
        <v>466</v>
      </c>
      <c r="H50" s="2">
        <v>3.5</v>
      </c>
      <c r="I50" s="2">
        <v>4638.333333333333</v>
      </c>
      <c r="J50" s="2">
        <v>11526258.333333332</v>
      </c>
    </row>
    <row r="51" spans="1:10" x14ac:dyDescent="0.4">
      <c r="A51" s="1" t="s">
        <v>495</v>
      </c>
      <c r="B51" t="s">
        <v>503</v>
      </c>
      <c r="C51" t="s">
        <v>443</v>
      </c>
      <c r="D51" s="2">
        <v>710</v>
      </c>
      <c r="E51" s="1" t="s">
        <v>475</v>
      </c>
      <c r="F51" t="s">
        <v>476</v>
      </c>
      <c r="G51" t="s">
        <v>466</v>
      </c>
      <c r="H51" s="2">
        <v>0.06</v>
      </c>
      <c r="I51" s="2">
        <v>4719</v>
      </c>
      <c r="J51" s="2">
        <v>201029.4</v>
      </c>
    </row>
    <row r="52" spans="1:10" x14ac:dyDescent="0.4">
      <c r="A52" s="1" t="s">
        <v>497</v>
      </c>
      <c r="B52" t="s">
        <v>504</v>
      </c>
      <c r="C52" t="s">
        <v>443</v>
      </c>
      <c r="D52" s="2">
        <v>710</v>
      </c>
      <c r="E52" s="1" t="s">
        <v>506</v>
      </c>
      <c r="F52" t="s">
        <v>507</v>
      </c>
      <c r="G52" t="s">
        <v>492</v>
      </c>
      <c r="H52" s="2">
        <v>0.1</v>
      </c>
      <c r="I52" s="2">
        <v>15000</v>
      </c>
      <c r="J52" s="2">
        <v>1065000</v>
      </c>
    </row>
    <row r="53" spans="1:10" x14ac:dyDescent="0.4">
      <c r="A53" s="1" t="s">
        <v>497</v>
      </c>
      <c r="B53" t="s">
        <v>504</v>
      </c>
      <c r="C53" t="s">
        <v>443</v>
      </c>
      <c r="D53" s="2">
        <v>710</v>
      </c>
      <c r="E53" s="1" t="s">
        <v>508</v>
      </c>
      <c r="F53" t="s">
        <v>509</v>
      </c>
      <c r="G53" t="s">
        <v>492</v>
      </c>
      <c r="H53" s="2">
        <v>0.6</v>
      </c>
      <c r="I53" s="2">
        <v>10000</v>
      </c>
      <c r="J53" s="2">
        <v>4260000</v>
      </c>
    </row>
    <row r="54" spans="1:10" x14ac:dyDescent="0.4">
      <c r="A54" s="1" t="s">
        <v>497</v>
      </c>
      <c r="B54" t="s">
        <v>504</v>
      </c>
      <c r="C54" t="s">
        <v>443</v>
      </c>
      <c r="D54" s="2">
        <v>710</v>
      </c>
      <c r="E54" s="1" t="s">
        <v>467</v>
      </c>
      <c r="F54" t="s">
        <v>468</v>
      </c>
      <c r="G54" t="s">
        <v>433</v>
      </c>
      <c r="H54" s="2">
        <v>7.0000000000000007E-2</v>
      </c>
      <c r="I54" s="2">
        <v>318230</v>
      </c>
      <c r="J54" s="2">
        <v>15816031.000000002</v>
      </c>
    </row>
    <row r="55" spans="1:10" x14ac:dyDescent="0.4">
      <c r="A55" s="1" t="s">
        <v>499</v>
      </c>
      <c r="B55" t="s">
        <v>505</v>
      </c>
      <c r="C55" t="s">
        <v>443</v>
      </c>
      <c r="D55" s="2">
        <v>710</v>
      </c>
      <c r="E55" s="1" t="s">
        <v>506</v>
      </c>
      <c r="F55" t="s">
        <v>507</v>
      </c>
      <c r="G55" t="s">
        <v>492</v>
      </c>
      <c r="H55" s="2">
        <v>0.05</v>
      </c>
      <c r="I55" s="2">
        <v>15000</v>
      </c>
      <c r="J55" s="2">
        <v>532500</v>
      </c>
    </row>
    <row r="56" spans="1:10" x14ac:dyDescent="0.4">
      <c r="A56" s="1" t="s">
        <v>499</v>
      </c>
      <c r="B56" t="s">
        <v>505</v>
      </c>
      <c r="C56" t="s">
        <v>443</v>
      </c>
      <c r="D56" s="2">
        <v>710</v>
      </c>
      <c r="E56" s="1" t="s">
        <v>508</v>
      </c>
      <c r="F56" t="s">
        <v>509</v>
      </c>
      <c r="G56" t="s">
        <v>492</v>
      </c>
      <c r="H56" s="2">
        <v>0.15</v>
      </c>
      <c r="I56" s="2">
        <v>10000</v>
      </c>
      <c r="J56" s="2">
        <v>1065000</v>
      </c>
    </row>
    <row r="57" spans="1:10" x14ac:dyDescent="0.4">
      <c r="A57" s="1" t="s">
        <v>499</v>
      </c>
      <c r="B57" t="s">
        <v>505</v>
      </c>
      <c r="C57" t="s">
        <v>443</v>
      </c>
      <c r="D57" s="2">
        <v>710</v>
      </c>
      <c r="E57" s="1" t="s">
        <v>486</v>
      </c>
      <c r="F57" t="s">
        <v>487</v>
      </c>
      <c r="G57" t="s">
        <v>443</v>
      </c>
      <c r="H57" s="2">
        <v>1</v>
      </c>
      <c r="I57" s="2">
        <v>92507.645259938843</v>
      </c>
      <c r="J57" s="2">
        <v>65680428.134556577</v>
      </c>
    </row>
    <row r="58" spans="1:10" x14ac:dyDescent="0.4">
      <c r="A58" s="1" t="s">
        <v>499</v>
      </c>
      <c r="B58" t="s">
        <v>505</v>
      </c>
      <c r="C58" t="s">
        <v>443</v>
      </c>
      <c r="D58" s="2">
        <v>710</v>
      </c>
      <c r="E58" s="1" t="s">
        <v>490</v>
      </c>
      <c r="F58" t="s">
        <v>491</v>
      </c>
      <c r="G58" t="s">
        <v>492</v>
      </c>
      <c r="H58" s="2">
        <v>0.03</v>
      </c>
      <c r="I58" s="2">
        <v>300000</v>
      </c>
      <c r="J58" s="2">
        <v>6390000</v>
      </c>
    </row>
    <row r="60" spans="1:10" x14ac:dyDescent="0.4">
      <c r="H60" s="2" t="s">
        <v>493</v>
      </c>
      <c r="J60" s="2">
        <f>SUM(J2:J59)</f>
        <v>441699459.78193957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8D3C2-5A99-4965-AE51-E3AA2E64BE8E}">
  <sheetPr codeName="Hoja4"/>
  <dimension ref="A3:J88"/>
  <sheetViews>
    <sheetView topLeftCell="A13" workbookViewId="0"/>
  </sheetViews>
  <sheetFormatPr baseColWidth="10" defaultRowHeight="14.6" x14ac:dyDescent="0.4"/>
  <cols>
    <col min="4" max="4" width="11.07421875" style="2"/>
    <col min="8" max="8" width="11.07421875" style="2"/>
    <col min="9" max="9" width="11.4609375" style="2" bestFit="1" customWidth="1"/>
    <col min="10" max="10" width="13.4609375" style="2" bestFit="1" customWidth="1"/>
  </cols>
  <sheetData>
    <row r="3" spans="1:10" x14ac:dyDescent="0.4">
      <c r="A3" t="s">
        <v>451</v>
      </c>
      <c r="B3" t="s">
        <v>2</v>
      </c>
      <c r="C3" t="s">
        <v>452</v>
      </c>
      <c r="D3" s="2" t="s">
        <v>453</v>
      </c>
      <c r="E3" t="s">
        <v>454</v>
      </c>
      <c r="F3" t="s">
        <v>455</v>
      </c>
      <c r="G3" t="s">
        <v>452</v>
      </c>
      <c r="H3" s="2" t="s">
        <v>453</v>
      </c>
      <c r="I3" s="2" t="s">
        <v>458</v>
      </c>
      <c r="J3" s="2" t="s">
        <v>514</v>
      </c>
    </row>
    <row r="5" spans="1:10" x14ac:dyDescent="0.4">
      <c r="A5" s="1" t="s">
        <v>431</v>
      </c>
      <c r="B5" t="s">
        <v>444</v>
      </c>
      <c r="C5" t="s">
        <v>433</v>
      </c>
      <c r="D5" s="2">
        <v>265</v>
      </c>
      <c r="E5" s="1" t="s">
        <v>460</v>
      </c>
      <c r="F5" t="s">
        <v>461</v>
      </c>
      <c r="G5" t="s">
        <v>433</v>
      </c>
      <c r="H5" s="2">
        <v>1</v>
      </c>
      <c r="I5" s="2">
        <v>55000</v>
      </c>
      <c r="J5" s="2">
        <v>14575000</v>
      </c>
    </row>
    <row r="6" spans="1:10" x14ac:dyDescent="0.4">
      <c r="A6" s="1" t="s">
        <v>431</v>
      </c>
      <c r="B6" t="s">
        <v>444</v>
      </c>
      <c r="C6" t="s">
        <v>433</v>
      </c>
      <c r="D6" s="2">
        <v>265</v>
      </c>
      <c r="I6" s="2">
        <v>55000</v>
      </c>
      <c r="J6" s="2">
        <f>SUBTOTAL(9, J4:J5)</f>
        <v>14575000</v>
      </c>
    </row>
    <row r="7" spans="1:10" x14ac:dyDescent="0.4">
      <c r="A7" s="1"/>
    </row>
    <row r="8" spans="1:10" x14ac:dyDescent="0.4">
      <c r="A8" s="1" t="s">
        <v>434</v>
      </c>
      <c r="B8" t="s">
        <v>446</v>
      </c>
      <c r="C8" t="s">
        <v>433</v>
      </c>
      <c r="D8" s="2">
        <v>88</v>
      </c>
      <c r="E8" s="1" t="s">
        <v>462</v>
      </c>
      <c r="F8" t="s">
        <v>463</v>
      </c>
      <c r="G8" t="s">
        <v>433</v>
      </c>
      <c r="H8" s="2">
        <v>1</v>
      </c>
      <c r="I8" s="2">
        <v>450000</v>
      </c>
      <c r="J8" s="2">
        <v>39600000</v>
      </c>
    </row>
    <row r="9" spans="1:10" x14ac:dyDescent="0.4">
      <c r="A9" s="1" t="s">
        <v>434</v>
      </c>
      <c r="B9" t="s">
        <v>446</v>
      </c>
      <c r="C9" t="s">
        <v>433</v>
      </c>
      <c r="D9" s="2">
        <v>88</v>
      </c>
      <c r="E9" s="1" t="s">
        <v>464</v>
      </c>
      <c r="F9" t="s">
        <v>465</v>
      </c>
      <c r="G9" t="s">
        <v>466</v>
      </c>
      <c r="H9" s="2">
        <v>90</v>
      </c>
      <c r="I9" s="2">
        <v>1765.9459459459458</v>
      </c>
      <c r="J9" s="2">
        <v>13986291.891891891</v>
      </c>
    </row>
    <row r="10" spans="1:10" x14ac:dyDescent="0.4">
      <c r="A10" s="1" t="s">
        <v>434</v>
      </c>
      <c r="B10" t="s">
        <v>446</v>
      </c>
      <c r="C10" t="s">
        <v>433</v>
      </c>
      <c r="D10" s="2">
        <v>88</v>
      </c>
      <c r="E10" s="1" t="s">
        <v>467</v>
      </c>
      <c r="F10" t="s">
        <v>468</v>
      </c>
      <c r="G10" t="s">
        <v>433</v>
      </c>
      <c r="H10" s="2">
        <v>1.05</v>
      </c>
      <c r="I10" s="2">
        <v>318230</v>
      </c>
      <c r="J10" s="2">
        <v>29404452</v>
      </c>
    </row>
    <row r="11" spans="1:10" x14ac:dyDescent="0.4">
      <c r="A11" s="1" t="s">
        <v>434</v>
      </c>
      <c r="B11" t="s">
        <v>446</v>
      </c>
      <c r="C11" t="s">
        <v>433</v>
      </c>
      <c r="D11" s="2">
        <v>88</v>
      </c>
      <c r="I11" s="2">
        <v>943076.63513513515</v>
      </c>
      <c r="J11" s="2">
        <f>SUBTOTAL(9, J7:J10)</f>
        <v>82990743.891891897</v>
      </c>
    </row>
    <row r="12" spans="1:10" x14ac:dyDescent="0.4">
      <c r="A12" s="1"/>
    </row>
    <row r="13" spans="1:10" x14ac:dyDescent="0.4">
      <c r="A13" s="1" t="s">
        <v>436</v>
      </c>
      <c r="B13" t="s">
        <v>445</v>
      </c>
      <c r="C13" t="s">
        <v>433</v>
      </c>
      <c r="D13" s="2">
        <v>33</v>
      </c>
      <c r="E13" s="1" t="s">
        <v>469</v>
      </c>
      <c r="F13" t="s">
        <v>470</v>
      </c>
      <c r="G13" t="s">
        <v>433</v>
      </c>
      <c r="H13" s="2">
        <v>1</v>
      </c>
      <c r="I13" s="2">
        <v>500000</v>
      </c>
      <c r="J13" s="2">
        <v>16500000</v>
      </c>
    </row>
    <row r="14" spans="1:10" x14ac:dyDescent="0.4">
      <c r="A14" s="1" t="s">
        <v>436</v>
      </c>
      <c r="B14" t="s">
        <v>445</v>
      </c>
      <c r="C14" t="s">
        <v>433</v>
      </c>
      <c r="D14" s="2">
        <v>33</v>
      </c>
      <c r="E14" s="1" t="s">
        <v>464</v>
      </c>
      <c r="F14" t="s">
        <v>465</v>
      </c>
      <c r="G14" t="s">
        <v>466</v>
      </c>
      <c r="H14" s="2">
        <v>60</v>
      </c>
      <c r="I14" s="2">
        <v>1765.9459459459458</v>
      </c>
      <c r="J14" s="2">
        <v>3496572.9729729728</v>
      </c>
    </row>
    <row r="15" spans="1:10" x14ac:dyDescent="0.4">
      <c r="A15" s="1" t="s">
        <v>436</v>
      </c>
      <c r="B15" t="s">
        <v>445</v>
      </c>
      <c r="C15" t="s">
        <v>433</v>
      </c>
      <c r="D15" s="2">
        <v>33</v>
      </c>
      <c r="E15" s="1" t="s">
        <v>471</v>
      </c>
      <c r="F15" t="s">
        <v>472</v>
      </c>
      <c r="G15" t="s">
        <v>433</v>
      </c>
      <c r="H15" s="2">
        <v>1.05</v>
      </c>
      <c r="I15" s="2">
        <v>318230</v>
      </c>
      <c r="J15" s="2">
        <v>11026669.5</v>
      </c>
    </row>
    <row r="16" spans="1:10" x14ac:dyDescent="0.4">
      <c r="A16" s="1" t="s">
        <v>436</v>
      </c>
      <c r="B16" t="s">
        <v>445</v>
      </c>
      <c r="C16" t="s">
        <v>433</v>
      </c>
      <c r="D16" s="2">
        <v>33</v>
      </c>
      <c r="I16" s="2">
        <v>940098.2567567568</v>
      </c>
      <c r="J16" s="2">
        <f>SUBTOTAL(9, J12:J15)</f>
        <v>31023242.472972974</v>
      </c>
    </row>
    <row r="17" spans="1:10" x14ac:dyDescent="0.4">
      <c r="A17" s="1"/>
    </row>
    <row r="18" spans="1:10" x14ac:dyDescent="0.4">
      <c r="A18" s="1" t="s">
        <v>438</v>
      </c>
      <c r="B18" t="s">
        <v>448</v>
      </c>
      <c r="C18" t="s">
        <v>433</v>
      </c>
      <c r="D18" s="2">
        <v>7</v>
      </c>
      <c r="E18" s="1" t="s">
        <v>473</v>
      </c>
      <c r="F18" t="s">
        <v>474</v>
      </c>
      <c r="G18" t="s">
        <v>433</v>
      </c>
      <c r="H18" s="2">
        <v>1</v>
      </c>
      <c r="I18" s="2">
        <v>400000</v>
      </c>
      <c r="J18" s="2">
        <v>2800000</v>
      </c>
    </row>
    <row r="19" spans="1:10" x14ac:dyDescent="0.4">
      <c r="A19" s="1" t="s">
        <v>438</v>
      </c>
      <c r="B19" t="s">
        <v>448</v>
      </c>
      <c r="C19" t="s">
        <v>433</v>
      </c>
      <c r="D19" s="2">
        <v>7</v>
      </c>
      <c r="E19" s="1" t="s">
        <v>464</v>
      </c>
      <c r="F19" t="s">
        <v>465</v>
      </c>
      <c r="G19" t="s">
        <v>466</v>
      </c>
      <c r="H19" s="2">
        <v>90</v>
      </c>
      <c r="I19" s="2">
        <v>1765.9459459459458</v>
      </c>
      <c r="J19" s="2">
        <v>1112545.9459459458</v>
      </c>
    </row>
    <row r="20" spans="1:10" x14ac:dyDescent="0.4">
      <c r="A20" s="1" t="s">
        <v>438</v>
      </c>
      <c r="B20" t="s">
        <v>448</v>
      </c>
      <c r="C20" t="s">
        <v>433</v>
      </c>
      <c r="D20" s="2">
        <v>7</v>
      </c>
      <c r="E20" s="1" t="s">
        <v>475</v>
      </c>
      <c r="F20" t="s">
        <v>476</v>
      </c>
      <c r="G20" t="s">
        <v>466</v>
      </c>
      <c r="H20" s="2">
        <v>0.77</v>
      </c>
      <c r="I20" s="2">
        <v>4719</v>
      </c>
      <c r="J20" s="2">
        <v>25435.41</v>
      </c>
    </row>
    <row r="21" spans="1:10" x14ac:dyDescent="0.4">
      <c r="A21" s="1" t="s">
        <v>438</v>
      </c>
      <c r="B21" t="s">
        <v>448</v>
      </c>
      <c r="C21" t="s">
        <v>433</v>
      </c>
      <c r="D21" s="2">
        <v>7</v>
      </c>
      <c r="E21" s="1" t="s">
        <v>477</v>
      </c>
      <c r="F21" t="s">
        <v>478</v>
      </c>
      <c r="G21" t="s">
        <v>466</v>
      </c>
      <c r="H21" s="2">
        <v>2</v>
      </c>
      <c r="I21" s="2">
        <v>4559.28</v>
      </c>
      <c r="J21" s="2">
        <v>63829.919999999998</v>
      </c>
    </row>
    <row r="22" spans="1:10" x14ac:dyDescent="0.4">
      <c r="A22" s="1" t="s">
        <v>438</v>
      </c>
      <c r="B22" t="s">
        <v>448</v>
      </c>
      <c r="C22" t="s">
        <v>433</v>
      </c>
      <c r="D22" s="2">
        <v>7</v>
      </c>
      <c r="E22" s="1" t="s">
        <v>479</v>
      </c>
      <c r="F22" t="s">
        <v>480</v>
      </c>
      <c r="G22" t="s">
        <v>443</v>
      </c>
      <c r="H22" s="2">
        <v>7</v>
      </c>
      <c r="I22" s="2">
        <v>12800</v>
      </c>
      <c r="J22" s="2">
        <v>627200</v>
      </c>
    </row>
    <row r="23" spans="1:10" x14ac:dyDescent="0.4">
      <c r="A23" s="1" t="s">
        <v>438</v>
      </c>
      <c r="B23" t="s">
        <v>448</v>
      </c>
      <c r="C23" t="s">
        <v>433</v>
      </c>
      <c r="D23" s="2">
        <v>7</v>
      </c>
      <c r="E23" s="1" t="s">
        <v>481</v>
      </c>
      <c r="F23" t="s">
        <v>482</v>
      </c>
      <c r="G23" t="s">
        <v>483</v>
      </c>
      <c r="H23" s="2">
        <v>0.4</v>
      </c>
      <c r="I23" s="2">
        <v>3296.0928961748627</v>
      </c>
      <c r="J23" s="2">
        <v>9229.0601092896159</v>
      </c>
    </row>
    <row r="24" spans="1:10" x14ac:dyDescent="0.4">
      <c r="A24" s="1" t="s">
        <v>438</v>
      </c>
      <c r="B24" t="s">
        <v>448</v>
      </c>
      <c r="C24" t="s">
        <v>433</v>
      </c>
      <c r="D24" s="2">
        <v>7</v>
      </c>
      <c r="E24" s="1" t="s">
        <v>467</v>
      </c>
      <c r="F24" t="s">
        <v>468</v>
      </c>
      <c r="G24" t="s">
        <v>433</v>
      </c>
      <c r="H24" s="2">
        <v>1.05</v>
      </c>
      <c r="I24" s="2">
        <v>318230</v>
      </c>
      <c r="J24" s="2">
        <v>2338990.5</v>
      </c>
    </row>
    <row r="25" spans="1:10" x14ac:dyDescent="0.4">
      <c r="A25" s="1" t="s">
        <v>438</v>
      </c>
      <c r="B25" t="s">
        <v>448</v>
      </c>
      <c r="C25" t="s">
        <v>433</v>
      </c>
      <c r="D25" s="2">
        <v>7</v>
      </c>
      <c r="I25" s="2">
        <v>996747.26229360502</v>
      </c>
      <c r="J25" s="2">
        <f>SUBTOTAL(9, J17:J24)</f>
        <v>6977230.836055235</v>
      </c>
    </row>
    <row r="26" spans="1:10" x14ac:dyDescent="0.4">
      <c r="A26" s="1"/>
    </row>
    <row r="27" spans="1:10" x14ac:dyDescent="0.4">
      <c r="A27" s="1" t="s">
        <v>440</v>
      </c>
      <c r="B27" t="s">
        <v>447</v>
      </c>
      <c r="C27" t="s">
        <v>433</v>
      </c>
      <c r="D27" s="2">
        <v>35</v>
      </c>
      <c r="E27" s="1" t="s">
        <v>484</v>
      </c>
      <c r="F27" t="s">
        <v>485</v>
      </c>
      <c r="G27" t="s">
        <v>433</v>
      </c>
      <c r="H27" s="2">
        <v>1</v>
      </c>
      <c r="I27" s="2">
        <v>600000</v>
      </c>
      <c r="J27" s="2">
        <v>21000000</v>
      </c>
    </row>
    <row r="28" spans="1:10" x14ac:dyDescent="0.4">
      <c r="A28" s="1" t="s">
        <v>440</v>
      </c>
      <c r="B28" t="s">
        <v>447</v>
      </c>
      <c r="C28" t="s">
        <v>433</v>
      </c>
      <c r="D28" s="2">
        <v>35</v>
      </c>
      <c r="E28" s="1" t="s">
        <v>464</v>
      </c>
      <c r="F28" t="s">
        <v>465</v>
      </c>
      <c r="G28" t="s">
        <v>466</v>
      </c>
      <c r="H28" s="2">
        <v>150</v>
      </c>
      <c r="I28" s="2">
        <v>1765.9459459459458</v>
      </c>
      <c r="J28" s="2">
        <v>9271216.2162162159</v>
      </c>
    </row>
    <row r="29" spans="1:10" x14ac:dyDescent="0.4">
      <c r="A29" s="1" t="s">
        <v>440</v>
      </c>
      <c r="B29" t="s">
        <v>447</v>
      </c>
      <c r="C29" t="s">
        <v>433</v>
      </c>
      <c r="D29" s="2">
        <v>35</v>
      </c>
      <c r="E29" s="1" t="s">
        <v>475</v>
      </c>
      <c r="F29" t="s">
        <v>476</v>
      </c>
      <c r="G29" t="s">
        <v>466</v>
      </c>
      <c r="H29" s="2">
        <v>0.85</v>
      </c>
      <c r="I29" s="2">
        <v>4719</v>
      </c>
      <c r="J29" s="2">
        <v>140390.25</v>
      </c>
    </row>
    <row r="30" spans="1:10" x14ac:dyDescent="0.4">
      <c r="A30" s="1" t="s">
        <v>440</v>
      </c>
      <c r="B30" t="s">
        <v>447</v>
      </c>
      <c r="C30" t="s">
        <v>433</v>
      </c>
      <c r="D30" s="2">
        <v>35</v>
      </c>
      <c r="E30" s="1" t="s">
        <v>477</v>
      </c>
      <c r="F30" t="s">
        <v>478</v>
      </c>
      <c r="G30" t="s">
        <v>466</v>
      </c>
      <c r="H30" s="2">
        <v>1.5</v>
      </c>
      <c r="I30" s="2">
        <v>4559.28</v>
      </c>
      <c r="J30" s="2">
        <v>239362.19999999998</v>
      </c>
    </row>
    <row r="31" spans="1:10" x14ac:dyDescent="0.4">
      <c r="A31" s="1" t="s">
        <v>440</v>
      </c>
      <c r="B31" t="s">
        <v>447</v>
      </c>
      <c r="C31" t="s">
        <v>433</v>
      </c>
      <c r="D31" s="2">
        <v>35</v>
      </c>
      <c r="E31" s="1" t="s">
        <v>479</v>
      </c>
      <c r="F31" t="s">
        <v>480</v>
      </c>
      <c r="G31" t="s">
        <v>443</v>
      </c>
      <c r="H31" s="2">
        <v>5</v>
      </c>
      <c r="I31" s="2">
        <v>12800</v>
      </c>
      <c r="J31" s="2">
        <v>2240000</v>
      </c>
    </row>
    <row r="32" spans="1:10" x14ac:dyDescent="0.4">
      <c r="A32" s="1" t="s">
        <v>440</v>
      </c>
      <c r="B32" t="s">
        <v>447</v>
      </c>
      <c r="C32" t="s">
        <v>433</v>
      </c>
      <c r="D32" s="2">
        <v>35</v>
      </c>
      <c r="E32" s="1" t="s">
        <v>481</v>
      </c>
      <c r="F32" t="s">
        <v>482</v>
      </c>
      <c r="G32" t="s">
        <v>483</v>
      </c>
      <c r="H32" s="2">
        <v>11</v>
      </c>
      <c r="I32" s="2">
        <v>3296.0928961748627</v>
      </c>
      <c r="J32" s="2">
        <v>1268995.7650273221</v>
      </c>
    </row>
    <row r="33" spans="1:10" x14ac:dyDescent="0.4">
      <c r="A33" s="1" t="s">
        <v>440</v>
      </c>
      <c r="B33" t="s">
        <v>447</v>
      </c>
      <c r="C33" t="s">
        <v>433</v>
      </c>
      <c r="D33" s="2">
        <v>35</v>
      </c>
      <c r="E33" s="1" t="s">
        <v>467</v>
      </c>
      <c r="F33" t="s">
        <v>468</v>
      </c>
      <c r="G33" t="s">
        <v>433</v>
      </c>
      <c r="H33" s="2">
        <v>1.05</v>
      </c>
      <c r="I33" s="2">
        <v>318230</v>
      </c>
      <c r="J33" s="2">
        <v>11694952.5</v>
      </c>
    </row>
    <row r="34" spans="1:10" x14ac:dyDescent="0.4">
      <c r="A34" s="1" t="s">
        <v>440</v>
      </c>
      <c r="B34" t="s">
        <v>447</v>
      </c>
      <c r="C34" t="s">
        <v>433</v>
      </c>
      <c r="D34" s="2">
        <v>35</v>
      </c>
      <c r="I34" s="2">
        <v>1310140.4837498155</v>
      </c>
      <c r="J34" s="2">
        <f>SUBTOTAL(9, J26:J33)</f>
        <v>45854916.931243539</v>
      </c>
    </row>
    <row r="35" spans="1:10" x14ac:dyDescent="0.4">
      <c r="A35" s="1"/>
    </row>
    <row r="36" spans="1:10" x14ac:dyDescent="0.4">
      <c r="A36" s="1" t="s">
        <v>495</v>
      </c>
      <c r="B36" t="s">
        <v>500</v>
      </c>
      <c r="C36" t="s">
        <v>443</v>
      </c>
      <c r="D36" s="2">
        <v>650</v>
      </c>
      <c r="E36" s="1" t="s">
        <v>506</v>
      </c>
      <c r="F36" t="s">
        <v>507</v>
      </c>
      <c r="G36" t="s">
        <v>492</v>
      </c>
      <c r="H36" s="2">
        <v>0.05</v>
      </c>
      <c r="I36" s="2">
        <v>15000</v>
      </c>
      <c r="J36" s="2">
        <v>487500</v>
      </c>
    </row>
    <row r="37" spans="1:10" x14ac:dyDescent="0.4">
      <c r="A37" s="1" t="s">
        <v>495</v>
      </c>
      <c r="B37" t="s">
        <v>500</v>
      </c>
      <c r="C37" t="s">
        <v>443</v>
      </c>
      <c r="D37" s="2">
        <v>650</v>
      </c>
      <c r="E37" s="1" t="s">
        <v>508</v>
      </c>
      <c r="F37" t="s">
        <v>509</v>
      </c>
      <c r="G37" t="s">
        <v>492</v>
      </c>
      <c r="H37" s="2">
        <v>0.1</v>
      </c>
      <c r="I37" s="2">
        <v>10000</v>
      </c>
      <c r="J37" s="2">
        <v>650000</v>
      </c>
    </row>
    <row r="38" spans="1:10" x14ac:dyDescent="0.4">
      <c r="A38" s="1" t="s">
        <v>495</v>
      </c>
      <c r="B38" t="s">
        <v>500</v>
      </c>
      <c r="C38" t="s">
        <v>443</v>
      </c>
      <c r="D38" s="2">
        <v>650</v>
      </c>
      <c r="E38" s="1" t="s">
        <v>488</v>
      </c>
      <c r="F38" t="s">
        <v>489</v>
      </c>
      <c r="G38" t="s">
        <v>466</v>
      </c>
      <c r="H38" s="2">
        <v>3.5</v>
      </c>
      <c r="I38" s="2">
        <v>4638.333333333333</v>
      </c>
      <c r="J38" s="2">
        <v>10552208.333333332</v>
      </c>
    </row>
    <row r="39" spans="1:10" x14ac:dyDescent="0.4">
      <c r="A39" s="1" t="s">
        <v>495</v>
      </c>
      <c r="B39" t="s">
        <v>500</v>
      </c>
      <c r="C39" t="s">
        <v>443</v>
      </c>
      <c r="D39" s="2">
        <v>650</v>
      </c>
      <c r="E39" s="1" t="s">
        <v>475</v>
      </c>
      <c r="F39" t="s">
        <v>476</v>
      </c>
      <c r="G39" t="s">
        <v>466</v>
      </c>
      <c r="H39" s="2">
        <v>0.06</v>
      </c>
      <c r="I39" s="2">
        <v>4719</v>
      </c>
      <c r="J39" s="2">
        <v>184041</v>
      </c>
    </row>
    <row r="40" spans="1:10" x14ac:dyDescent="0.4">
      <c r="A40" s="1" t="s">
        <v>495</v>
      </c>
      <c r="B40" t="s">
        <v>500</v>
      </c>
      <c r="C40" t="s">
        <v>443</v>
      </c>
      <c r="D40" s="2">
        <v>650</v>
      </c>
      <c r="I40" s="2">
        <v>18267.306666666664</v>
      </c>
      <c r="J40" s="2">
        <f>SUBTOTAL(9, J35:J39)</f>
        <v>11873749.333333332</v>
      </c>
    </row>
    <row r="41" spans="1:10" x14ac:dyDescent="0.4">
      <c r="A41" s="1"/>
    </row>
    <row r="42" spans="1:10" x14ac:dyDescent="0.4">
      <c r="A42" s="1" t="s">
        <v>497</v>
      </c>
      <c r="B42" t="s">
        <v>501</v>
      </c>
      <c r="C42" t="s">
        <v>443</v>
      </c>
      <c r="D42" s="2">
        <v>650</v>
      </c>
      <c r="E42" s="1" t="s">
        <v>506</v>
      </c>
      <c r="F42" t="s">
        <v>507</v>
      </c>
      <c r="G42" t="s">
        <v>492</v>
      </c>
      <c r="H42" s="2">
        <v>0.1</v>
      </c>
      <c r="I42" s="2">
        <v>15000</v>
      </c>
      <c r="J42" s="2">
        <v>975000</v>
      </c>
    </row>
    <row r="43" spans="1:10" x14ac:dyDescent="0.4">
      <c r="A43" s="1" t="s">
        <v>497</v>
      </c>
      <c r="B43" t="s">
        <v>501</v>
      </c>
      <c r="C43" t="s">
        <v>443</v>
      </c>
      <c r="D43" s="2">
        <v>650</v>
      </c>
      <c r="E43" s="1" t="s">
        <v>508</v>
      </c>
      <c r="F43" t="s">
        <v>509</v>
      </c>
      <c r="G43" t="s">
        <v>492</v>
      </c>
      <c r="H43" s="2">
        <v>0.6</v>
      </c>
      <c r="I43" s="2">
        <v>10000</v>
      </c>
      <c r="J43" s="2">
        <v>3900000</v>
      </c>
    </row>
    <row r="44" spans="1:10" x14ac:dyDescent="0.4">
      <c r="A44" s="1" t="s">
        <v>497</v>
      </c>
      <c r="B44" t="s">
        <v>501</v>
      </c>
      <c r="C44" t="s">
        <v>443</v>
      </c>
      <c r="D44" s="2">
        <v>650</v>
      </c>
      <c r="E44" s="1" t="s">
        <v>467</v>
      </c>
      <c r="F44" t="s">
        <v>468</v>
      </c>
      <c r="G44" t="s">
        <v>433</v>
      </c>
      <c r="H44" s="2">
        <v>7.0000000000000007E-2</v>
      </c>
      <c r="I44" s="2">
        <v>318230</v>
      </c>
      <c r="J44" s="2">
        <v>14479465.000000002</v>
      </c>
    </row>
    <row r="45" spans="1:10" x14ac:dyDescent="0.4">
      <c r="A45" s="1" t="s">
        <v>497</v>
      </c>
      <c r="B45" t="s">
        <v>501</v>
      </c>
      <c r="C45" t="s">
        <v>443</v>
      </c>
      <c r="D45" s="2">
        <v>650</v>
      </c>
      <c r="I45" s="2">
        <v>29776.1</v>
      </c>
      <c r="J45" s="2">
        <f>SUBTOTAL(9, J41:J44)</f>
        <v>19354465</v>
      </c>
    </row>
    <row r="46" spans="1:10" x14ac:dyDescent="0.4">
      <c r="A46" s="1"/>
    </row>
    <row r="47" spans="1:10" x14ac:dyDescent="0.4">
      <c r="A47" s="1" t="s">
        <v>499</v>
      </c>
      <c r="B47" t="s">
        <v>502</v>
      </c>
      <c r="C47" t="s">
        <v>443</v>
      </c>
      <c r="D47" s="2">
        <v>650</v>
      </c>
      <c r="E47" s="1" t="s">
        <v>506</v>
      </c>
      <c r="F47" t="s">
        <v>507</v>
      </c>
      <c r="G47" t="s">
        <v>492</v>
      </c>
      <c r="H47" s="2">
        <v>0.05</v>
      </c>
      <c r="I47" s="2">
        <v>15000</v>
      </c>
      <c r="J47" s="2">
        <v>487500</v>
      </c>
    </row>
    <row r="48" spans="1:10" x14ac:dyDescent="0.4">
      <c r="A48" s="1" t="s">
        <v>499</v>
      </c>
      <c r="B48" t="s">
        <v>502</v>
      </c>
      <c r="C48" t="s">
        <v>443</v>
      </c>
      <c r="D48" s="2">
        <v>650</v>
      </c>
      <c r="E48" s="1" t="s">
        <v>508</v>
      </c>
      <c r="F48" t="s">
        <v>509</v>
      </c>
      <c r="G48" t="s">
        <v>492</v>
      </c>
      <c r="H48" s="2">
        <v>0.15</v>
      </c>
      <c r="I48" s="2">
        <v>10000</v>
      </c>
      <c r="J48" s="2">
        <v>975000</v>
      </c>
    </row>
    <row r="49" spans="1:10" x14ac:dyDescent="0.4">
      <c r="A49" s="1" t="s">
        <v>499</v>
      </c>
      <c r="B49" t="s">
        <v>502</v>
      </c>
      <c r="C49" t="s">
        <v>443</v>
      </c>
      <c r="D49" s="2">
        <v>650</v>
      </c>
      <c r="E49" s="1" t="s">
        <v>486</v>
      </c>
      <c r="F49" t="s">
        <v>487</v>
      </c>
      <c r="G49" t="s">
        <v>443</v>
      </c>
      <c r="H49" s="2">
        <v>1</v>
      </c>
      <c r="I49" s="2">
        <v>92507.645259938843</v>
      </c>
      <c r="J49" s="2">
        <v>60129969.418960251</v>
      </c>
    </row>
    <row r="50" spans="1:10" x14ac:dyDescent="0.4">
      <c r="A50" s="1" t="s">
        <v>499</v>
      </c>
      <c r="B50" t="s">
        <v>502</v>
      </c>
      <c r="C50" t="s">
        <v>443</v>
      </c>
      <c r="D50" s="2">
        <v>650</v>
      </c>
      <c r="E50" s="1" t="s">
        <v>490</v>
      </c>
      <c r="F50" t="s">
        <v>491</v>
      </c>
      <c r="G50" t="s">
        <v>492</v>
      </c>
      <c r="H50" s="2">
        <v>0.03</v>
      </c>
      <c r="I50" s="2">
        <v>300000</v>
      </c>
      <c r="J50" s="2">
        <v>5850000</v>
      </c>
    </row>
    <row r="51" spans="1:10" x14ac:dyDescent="0.4">
      <c r="A51" s="1" t="s">
        <v>499</v>
      </c>
      <c r="B51" t="s">
        <v>502</v>
      </c>
      <c r="C51" t="s">
        <v>443</v>
      </c>
      <c r="D51" s="2">
        <v>650</v>
      </c>
      <c r="I51" s="2">
        <v>103757.64525993884</v>
      </c>
      <c r="J51" s="2">
        <f>SUBTOTAL(9, J46:J50)</f>
        <v>67442469.418960243</v>
      </c>
    </row>
    <row r="52" spans="1:10" x14ac:dyDescent="0.4">
      <c r="A52" s="1"/>
    </row>
    <row r="53" spans="1:10" x14ac:dyDescent="0.4">
      <c r="A53" s="1" t="s">
        <v>438</v>
      </c>
      <c r="B53" t="s">
        <v>449</v>
      </c>
      <c r="C53" t="s">
        <v>433</v>
      </c>
      <c r="D53" s="2">
        <v>8</v>
      </c>
      <c r="E53" s="1" t="s">
        <v>473</v>
      </c>
      <c r="F53" t="s">
        <v>474</v>
      </c>
      <c r="G53" t="s">
        <v>433</v>
      </c>
      <c r="H53" s="2">
        <v>1</v>
      </c>
      <c r="I53" s="2">
        <v>400000</v>
      </c>
      <c r="J53" s="2">
        <v>3200000</v>
      </c>
    </row>
    <row r="54" spans="1:10" x14ac:dyDescent="0.4">
      <c r="A54" s="1" t="s">
        <v>438</v>
      </c>
      <c r="B54" t="s">
        <v>449</v>
      </c>
      <c r="C54" t="s">
        <v>433</v>
      </c>
      <c r="D54" s="2">
        <v>8</v>
      </c>
      <c r="E54" s="1" t="s">
        <v>464</v>
      </c>
      <c r="F54" t="s">
        <v>465</v>
      </c>
      <c r="G54" t="s">
        <v>466</v>
      </c>
      <c r="H54" s="2">
        <v>90</v>
      </c>
      <c r="I54" s="2">
        <v>1765.9459459459458</v>
      </c>
      <c r="J54" s="2">
        <v>1271481.0810810809</v>
      </c>
    </row>
    <row r="55" spans="1:10" x14ac:dyDescent="0.4">
      <c r="A55" s="1" t="s">
        <v>438</v>
      </c>
      <c r="B55" t="s">
        <v>449</v>
      </c>
      <c r="C55" t="s">
        <v>433</v>
      </c>
      <c r="D55" s="2">
        <v>8</v>
      </c>
      <c r="E55" s="1" t="s">
        <v>475</v>
      </c>
      <c r="F55" t="s">
        <v>476</v>
      </c>
      <c r="G55" t="s">
        <v>466</v>
      </c>
      <c r="H55" s="2">
        <v>0.77</v>
      </c>
      <c r="I55" s="2">
        <v>4719</v>
      </c>
      <c r="J55" s="2">
        <v>29069.040000000001</v>
      </c>
    </row>
    <row r="56" spans="1:10" x14ac:dyDescent="0.4">
      <c r="A56" s="1" t="s">
        <v>438</v>
      </c>
      <c r="B56" t="s">
        <v>449</v>
      </c>
      <c r="C56" t="s">
        <v>433</v>
      </c>
      <c r="D56" s="2">
        <v>8</v>
      </c>
      <c r="E56" s="1" t="s">
        <v>477</v>
      </c>
      <c r="F56" t="s">
        <v>478</v>
      </c>
      <c r="G56" t="s">
        <v>466</v>
      </c>
      <c r="H56" s="2">
        <v>2</v>
      </c>
      <c r="I56" s="2">
        <v>4559.28</v>
      </c>
      <c r="J56" s="2">
        <v>72948.479999999996</v>
      </c>
    </row>
    <row r="57" spans="1:10" x14ac:dyDescent="0.4">
      <c r="A57" s="1" t="s">
        <v>438</v>
      </c>
      <c r="B57" t="s">
        <v>449</v>
      </c>
      <c r="C57" t="s">
        <v>433</v>
      </c>
      <c r="D57" s="2">
        <v>8</v>
      </c>
      <c r="E57" s="1" t="s">
        <v>479</v>
      </c>
      <c r="F57" t="s">
        <v>480</v>
      </c>
      <c r="G57" t="s">
        <v>443</v>
      </c>
      <c r="H57" s="2">
        <v>7</v>
      </c>
      <c r="I57" s="2">
        <v>12800</v>
      </c>
      <c r="J57" s="2">
        <v>716800</v>
      </c>
    </row>
    <row r="58" spans="1:10" x14ac:dyDescent="0.4">
      <c r="A58" s="1" t="s">
        <v>438</v>
      </c>
      <c r="B58" t="s">
        <v>449</v>
      </c>
      <c r="C58" t="s">
        <v>433</v>
      </c>
      <c r="D58" s="2">
        <v>8</v>
      </c>
      <c r="E58" s="1" t="s">
        <v>481</v>
      </c>
      <c r="F58" t="s">
        <v>482</v>
      </c>
      <c r="G58" t="s">
        <v>483</v>
      </c>
      <c r="H58" s="2">
        <v>0.4</v>
      </c>
      <c r="I58" s="2">
        <v>3296.0928961748627</v>
      </c>
      <c r="J58" s="2">
        <v>10547.497267759562</v>
      </c>
    </row>
    <row r="59" spans="1:10" x14ac:dyDescent="0.4">
      <c r="A59" s="1" t="s">
        <v>438</v>
      </c>
      <c r="B59" t="s">
        <v>449</v>
      </c>
      <c r="C59" t="s">
        <v>433</v>
      </c>
      <c r="D59" s="2">
        <v>8</v>
      </c>
      <c r="E59" s="1" t="s">
        <v>467</v>
      </c>
      <c r="F59" t="s">
        <v>468</v>
      </c>
      <c r="G59" t="s">
        <v>433</v>
      </c>
      <c r="H59" s="2">
        <v>1.05</v>
      </c>
      <c r="I59" s="2">
        <v>318230</v>
      </c>
      <c r="J59" s="2">
        <v>2673132</v>
      </c>
    </row>
    <row r="60" spans="1:10" x14ac:dyDescent="0.4">
      <c r="A60" s="1" t="s">
        <v>438</v>
      </c>
      <c r="B60" t="s">
        <v>449</v>
      </c>
      <c r="C60" t="s">
        <v>433</v>
      </c>
      <c r="D60" s="2">
        <v>8</v>
      </c>
      <c r="I60" s="2">
        <v>996747.26229360513</v>
      </c>
      <c r="J60" s="2">
        <f>SUBTOTAL(9, J52:J59)</f>
        <v>7973978.0983488411</v>
      </c>
    </row>
    <row r="61" spans="1:10" x14ac:dyDescent="0.4">
      <c r="A61" s="1"/>
    </row>
    <row r="62" spans="1:10" x14ac:dyDescent="0.4">
      <c r="A62" s="1" t="s">
        <v>440</v>
      </c>
      <c r="B62" t="s">
        <v>450</v>
      </c>
      <c r="C62" t="s">
        <v>433</v>
      </c>
      <c r="D62" s="2">
        <v>35</v>
      </c>
      <c r="E62" s="1" t="s">
        <v>484</v>
      </c>
      <c r="F62" t="s">
        <v>485</v>
      </c>
      <c r="G62" t="s">
        <v>433</v>
      </c>
      <c r="H62" s="2">
        <v>1</v>
      </c>
      <c r="I62" s="2">
        <v>600000</v>
      </c>
      <c r="J62" s="2">
        <v>21000000</v>
      </c>
    </row>
    <row r="63" spans="1:10" x14ac:dyDescent="0.4">
      <c r="A63" s="1" t="s">
        <v>440</v>
      </c>
      <c r="B63" t="s">
        <v>450</v>
      </c>
      <c r="C63" t="s">
        <v>433</v>
      </c>
      <c r="D63" s="2">
        <v>35</v>
      </c>
      <c r="E63" s="1" t="s">
        <v>464</v>
      </c>
      <c r="F63" t="s">
        <v>465</v>
      </c>
      <c r="G63" t="s">
        <v>466</v>
      </c>
      <c r="H63" s="2">
        <v>150</v>
      </c>
      <c r="I63" s="2">
        <v>1765.9459459459458</v>
      </c>
      <c r="J63" s="2">
        <v>9271216.2162162159</v>
      </c>
    </row>
    <row r="64" spans="1:10" x14ac:dyDescent="0.4">
      <c r="A64" s="1" t="s">
        <v>440</v>
      </c>
      <c r="B64" t="s">
        <v>450</v>
      </c>
      <c r="C64" t="s">
        <v>433</v>
      </c>
      <c r="D64" s="2">
        <v>35</v>
      </c>
      <c r="E64" s="1" t="s">
        <v>475</v>
      </c>
      <c r="F64" t="s">
        <v>476</v>
      </c>
      <c r="G64" t="s">
        <v>466</v>
      </c>
      <c r="H64" s="2">
        <v>0.85</v>
      </c>
      <c r="I64" s="2">
        <v>4719</v>
      </c>
      <c r="J64" s="2">
        <v>140390.25</v>
      </c>
    </row>
    <row r="65" spans="1:10" x14ac:dyDescent="0.4">
      <c r="A65" s="1" t="s">
        <v>440</v>
      </c>
      <c r="B65" t="s">
        <v>450</v>
      </c>
      <c r="C65" t="s">
        <v>433</v>
      </c>
      <c r="D65" s="2">
        <v>35</v>
      </c>
      <c r="E65" s="1" t="s">
        <v>477</v>
      </c>
      <c r="F65" t="s">
        <v>478</v>
      </c>
      <c r="G65" t="s">
        <v>466</v>
      </c>
      <c r="H65" s="2">
        <v>1.5</v>
      </c>
      <c r="I65" s="2">
        <v>4559.28</v>
      </c>
      <c r="J65" s="2">
        <v>239362.19999999998</v>
      </c>
    </row>
    <row r="66" spans="1:10" x14ac:dyDescent="0.4">
      <c r="A66" s="1" t="s">
        <v>440</v>
      </c>
      <c r="B66" t="s">
        <v>450</v>
      </c>
      <c r="C66" t="s">
        <v>433</v>
      </c>
      <c r="D66" s="2">
        <v>35</v>
      </c>
      <c r="E66" s="1" t="s">
        <v>479</v>
      </c>
      <c r="F66" t="s">
        <v>480</v>
      </c>
      <c r="G66" t="s">
        <v>443</v>
      </c>
      <c r="H66" s="2">
        <v>5</v>
      </c>
      <c r="I66" s="2">
        <v>12800</v>
      </c>
      <c r="J66" s="2">
        <v>2240000</v>
      </c>
    </row>
    <row r="67" spans="1:10" x14ac:dyDescent="0.4">
      <c r="A67" s="1" t="s">
        <v>440</v>
      </c>
      <c r="B67" t="s">
        <v>450</v>
      </c>
      <c r="C67" t="s">
        <v>433</v>
      </c>
      <c r="D67" s="2">
        <v>35</v>
      </c>
      <c r="E67" s="1" t="s">
        <v>481</v>
      </c>
      <c r="F67" t="s">
        <v>482</v>
      </c>
      <c r="G67" t="s">
        <v>483</v>
      </c>
      <c r="H67" s="2">
        <v>11</v>
      </c>
      <c r="I67" s="2">
        <v>3296.0928961748627</v>
      </c>
      <c r="J67" s="2">
        <v>1268995.7650273221</v>
      </c>
    </row>
    <row r="68" spans="1:10" x14ac:dyDescent="0.4">
      <c r="A68" s="1" t="s">
        <v>440</v>
      </c>
      <c r="B68" t="s">
        <v>450</v>
      </c>
      <c r="C68" t="s">
        <v>433</v>
      </c>
      <c r="D68" s="2">
        <v>35</v>
      </c>
      <c r="E68" s="1" t="s">
        <v>467</v>
      </c>
      <c r="F68" t="s">
        <v>468</v>
      </c>
      <c r="G68" t="s">
        <v>433</v>
      </c>
      <c r="H68" s="2">
        <v>1.05</v>
      </c>
      <c r="I68" s="2">
        <v>318230</v>
      </c>
      <c r="J68" s="2">
        <v>11694952.5</v>
      </c>
    </row>
    <row r="69" spans="1:10" x14ac:dyDescent="0.4">
      <c r="A69" s="1" t="s">
        <v>440</v>
      </c>
      <c r="B69" t="s">
        <v>450</v>
      </c>
      <c r="C69" t="s">
        <v>433</v>
      </c>
      <c r="D69" s="2">
        <v>35</v>
      </c>
      <c r="I69" s="2">
        <v>1310140.4837498155</v>
      </c>
      <c r="J69" s="2">
        <f>SUBTOTAL(9, J61:J68)</f>
        <v>45854916.931243539</v>
      </c>
    </row>
    <row r="70" spans="1:10" x14ac:dyDescent="0.4">
      <c r="A70" s="1"/>
    </row>
    <row r="71" spans="1:10" x14ac:dyDescent="0.4">
      <c r="A71" s="1" t="s">
        <v>495</v>
      </c>
      <c r="B71" t="s">
        <v>503</v>
      </c>
      <c r="C71" t="s">
        <v>443</v>
      </c>
      <c r="D71" s="2">
        <v>710</v>
      </c>
      <c r="E71" s="1" t="s">
        <v>506</v>
      </c>
      <c r="F71" t="s">
        <v>507</v>
      </c>
      <c r="G71" t="s">
        <v>492</v>
      </c>
      <c r="H71" s="2">
        <v>0.05</v>
      </c>
      <c r="I71" s="2">
        <v>15000</v>
      </c>
      <c r="J71" s="2">
        <v>532500</v>
      </c>
    </row>
    <row r="72" spans="1:10" x14ac:dyDescent="0.4">
      <c r="A72" s="1" t="s">
        <v>495</v>
      </c>
      <c r="B72" t="s">
        <v>503</v>
      </c>
      <c r="C72" t="s">
        <v>443</v>
      </c>
      <c r="D72" s="2">
        <v>710</v>
      </c>
      <c r="E72" s="1" t="s">
        <v>508</v>
      </c>
      <c r="F72" t="s">
        <v>509</v>
      </c>
      <c r="G72" t="s">
        <v>492</v>
      </c>
      <c r="H72" s="2">
        <v>0.1</v>
      </c>
      <c r="I72" s="2">
        <v>10000</v>
      </c>
      <c r="J72" s="2">
        <v>710000</v>
      </c>
    </row>
    <row r="73" spans="1:10" x14ac:dyDescent="0.4">
      <c r="A73" s="1" t="s">
        <v>495</v>
      </c>
      <c r="B73" t="s">
        <v>503</v>
      </c>
      <c r="C73" t="s">
        <v>443</v>
      </c>
      <c r="D73" s="2">
        <v>710</v>
      </c>
      <c r="E73" s="1" t="s">
        <v>488</v>
      </c>
      <c r="F73" t="s">
        <v>489</v>
      </c>
      <c r="G73" t="s">
        <v>466</v>
      </c>
      <c r="H73" s="2">
        <v>3.5</v>
      </c>
      <c r="I73" s="2">
        <v>4638.333333333333</v>
      </c>
      <c r="J73" s="2">
        <v>11526258.333333332</v>
      </c>
    </row>
    <row r="74" spans="1:10" x14ac:dyDescent="0.4">
      <c r="A74" s="1" t="s">
        <v>495</v>
      </c>
      <c r="B74" t="s">
        <v>503</v>
      </c>
      <c r="C74" t="s">
        <v>443</v>
      </c>
      <c r="D74" s="2">
        <v>710</v>
      </c>
      <c r="E74" s="1" t="s">
        <v>475</v>
      </c>
      <c r="F74" t="s">
        <v>476</v>
      </c>
      <c r="G74" t="s">
        <v>466</v>
      </c>
      <c r="H74" s="2">
        <v>0.06</v>
      </c>
      <c r="I74" s="2">
        <v>4719</v>
      </c>
      <c r="J74" s="2">
        <v>201029.4</v>
      </c>
    </row>
    <row r="75" spans="1:10" x14ac:dyDescent="0.4">
      <c r="A75" s="1" t="s">
        <v>495</v>
      </c>
      <c r="B75" t="s">
        <v>503</v>
      </c>
      <c r="C75" t="s">
        <v>443</v>
      </c>
      <c r="D75" s="2">
        <v>710</v>
      </c>
      <c r="I75" s="2">
        <v>18267.306666666664</v>
      </c>
      <c r="J75" s="2">
        <f>SUBTOTAL(9, J70:J74)</f>
        <v>12969787.733333332</v>
      </c>
    </row>
    <row r="76" spans="1:10" x14ac:dyDescent="0.4">
      <c r="A76" s="1"/>
    </row>
    <row r="77" spans="1:10" x14ac:dyDescent="0.4">
      <c r="A77" s="1" t="s">
        <v>497</v>
      </c>
      <c r="B77" t="s">
        <v>504</v>
      </c>
      <c r="C77" t="s">
        <v>443</v>
      </c>
      <c r="D77" s="2">
        <v>710</v>
      </c>
      <c r="E77" s="1" t="s">
        <v>506</v>
      </c>
      <c r="F77" t="s">
        <v>507</v>
      </c>
      <c r="G77" t="s">
        <v>492</v>
      </c>
      <c r="H77" s="2">
        <v>0.1</v>
      </c>
      <c r="I77" s="2">
        <v>15000</v>
      </c>
      <c r="J77" s="2">
        <v>1065000</v>
      </c>
    </row>
    <row r="78" spans="1:10" x14ac:dyDescent="0.4">
      <c r="A78" s="1" t="s">
        <v>497</v>
      </c>
      <c r="B78" t="s">
        <v>504</v>
      </c>
      <c r="C78" t="s">
        <v>443</v>
      </c>
      <c r="D78" s="2">
        <v>710</v>
      </c>
      <c r="E78" s="1" t="s">
        <v>508</v>
      </c>
      <c r="F78" t="s">
        <v>509</v>
      </c>
      <c r="G78" t="s">
        <v>492</v>
      </c>
      <c r="H78" s="2">
        <v>0.6</v>
      </c>
      <c r="I78" s="2">
        <v>10000</v>
      </c>
      <c r="J78" s="2">
        <v>4260000</v>
      </c>
    </row>
    <row r="79" spans="1:10" x14ac:dyDescent="0.4">
      <c r="A79" s="1" t="s">
        <v>497</v>
      </c>
      <c r="B79" t="s">
        <v>504</v>
      </c>
      <c r="C79" t="s">
        <v>443</v>
      </c>
      <c r="D79" s="2">
        <v>710</v>
      </c>
      <c r="E79" s="1" t="s">
        <v>467</v>
      </c>
      <c r="F79" t="s">
        <v>468</v>
      </c>
      <c r="G79" t="s">
        <v>433</v>
      </c>
      <c r="H79" s="2">
        <v>7.0000000000000007E-2</v>
      </c>
      <c r="I79" s="2">
        <v>318230</v>
      </c>
      <c r="J79" s="2">
        <v>15816031.000000002</v>
      </c>
    </row>
    <row r="80" spans="1:10" x14ac:dyDescent="0.4">
      <c r="A80" s="1" t="s">
        <v>497</v>
      </c>
      <c r="B80" t="s">
        <v>504</v>
      </c>
      <c r="C80" t="s">
        <v>443</v>
      </c>
      <c r="D80" s="2">
        <v>710</v>
      </c>
      <c r="I80" s="2">
        <v>29776.1</v>
      </c>
      <c r="J80" s="2">
        <f>SUBTOTAL(9, J76:J79)</f>
        <v>21141031</v>
      </c>
    </row>
    <row r="81" spans="1:10" x14ac:dyDescent="0.4">
      <c r="A81" s="1"/>
    </row>
    <row r="82" spans="1:10" x14ac:dyDescent="0.4">
      <c r="A82" s="1" t="s">
        <v>499</v>
      </c>
      <c r="B82" t="s">
        <v>505</v>
      </c>
      <c r="C82" t="s">
        <v>443</v>
      </c>
      <c r="D82" s="2">
        <v>710</v>
      </c>
      <c r="E82" s="1" t="s">
        <v>506</v>
      </c>
      <c r="F82" t="s">
        <v>507</v>
      </c>
      <c r="G82" t="s">
        <v>492</v>
      </c>
      <c r="H82" s="2">
        <v>0.05</v>
      </c>
      <c r="I82" s="2">
        <v>15000</v>
      </c>
      <c r="J82" s="2">
        <v>532500</v>
      </c>
    </row>
    <row r="83" spans="1:10" x14ac:dyDescent="0.4">
      <c r="A83" s="1" t="s">
        <v>499</v>
      </c>
      <c r="B83" t="s">
        <v>505</v>
      </c>
      <c r="C83" t="s">
        <v>443</v>
      </c>
      <c r="D83" s="2">
        <v>710</v>
      </c>
      <c r="E83" s="1" t="s">
        <v>508</v>
      </c>
      <c r="F83" t="s">
        <v>509</v>
      </c>
      <c r="G83" t="s">
        <v>492</v>
      </c>
      <c r="H83" s="2">
        <v>0.15</v>
      </c>
      <c r="I83" s="2">
        <v>10000</v>
      </c>
      <c r="J83" s="2">
        <v>1065000</v>
      </c>
    </row>
    <row r="84" spans="1:10" x14ac:dyDescent="0.4">
      <c r="A84" s="1" t="s">
        <v>499</v>
      </c>
      <c r="B84" t="s">
        <v>505</v>
      </c>
      <c r="C84" t="s">
        <v>443</v>
      </c>
      <c r="D84" s="2">
        <v>710</v>
      </c>
      <c r="E84" s="1" t="s">
        <v>486</v>
      </c>
      <c r="F84" t="s">
        <v>487</v>
      </c>
      <c r="G84" t="s">
        <v>443</v>
      </c>
      <c r="H84" s="2">
        <v>1</v>
      </c>
      <c r="I84" s="2">
        <v>92507.645259938843</v>
      </c>
      <c r="J84" s="2">
        <v>65680428.134556577</v>
      </c>
    </row>
    <row r="85" spans="1:10" x14ac:dyDescent="0.4">
      <c r="A85" s="1" t="s">
        <v>499</v>
      </c>
      <c r="B85" t="s">
        <v>505</v>
      </c>
      <c r="C85" t="s">
        <v>443</v>
      </c>
      <c r="D85" s="2">
        <v>710</v>
      </c>
      <c r="E85" s="1" t="s">
        <v>490</v>
      </c>
      <c r="F85" t="s">
        <v>491</v>
      </c>
      <c r="G85" t="s">
        <v>492</v>
      </c>
      <c r="H85" s="2">
        <v>0.03</v>
      </c>
      <c r="I85" s="2">
        <v>300000</v>
      </c>
      <c r="J85" s="2">
        <v>6390000</v>
      </c>
    </row>
    <row r="86" spans="1:10" x14ac:dyDescent="0.4">
      <c r="A86" s="1" t="s">
        <v>499</v>
      </c>
      <c r="B86" t="s">
        <v>505</v>
      </c>
      <c r="C86" t="s">
        <v>443</v>
      </c>
      <c r="D86" s="2">
        <v>710</v>
      </c>
      <c r="I86" s="2">
        <v>103757.64525993884</v>
      </c>
      <c r="J86" s="2">
        <f>SUBTOTAL(9, J81:J85)</f>
        <v>73667928.134556577</v>
      </c>
    </row>
    <row r="87" spans="1:10" x14ac:dyDescent="0.4">
      <c r="A87" s="1"/>
    </row>
    <row r="88" spans="1:10" x14ac:dyDescent="0.4">
      <c r="H88" s="2" t="s">
        <v>515</v>
      </c>
      <c r="J88" s="2">
        <f>SUBTOTAL(9, J4:J87)</f>
        <v>441699459.78193957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57F7E-64F7-4474-A9C2-D17AA7CFC73A}">
  <sheetPr codeName="Hoja5"/>
  <dimension ref="A3:F19"/>
  <sheetViews>
    <sheetView workbookViewId="0">
      <selection activeCell="H13" sqref="H13"/>
    </sheetView>
  </sheetViews>
  <sheetFormatPr baseColWidth="10" defaultRowHeight="14.6" x14ac:dyDescent="0.4"/>
  <cols>
    <col min="2" max="2" width="42.07421875" bestFit="1" customWidth="1"/>
    <col min="4" max="5" width="11.07421875" style="2"/>
    <col min="6" max="6" width="13.4609375" style="2" bestFit="1" customWidth="1"/>
  </cols>
  <sheetData>
    <row r="3" spans="1:6" x14ac:dyDescent="0.4">
      <c r="B3" t="s">
        <v>510</v>
      </c>
    </row>
    <row r="6" spans="1:6" x14ac:dyDescent="0.4">
      <c r="A6" t="s">
        <v>454</v>
      </c>
      <c r="B6" t="s">
        <v>455</v>
      </c>
      <c r="C6" t="s">
        <v>456</v>
      </c>
      <c r="D6" s="2" t="s">
        <v>511</v>
      </c>
      <c r="E6" s="2" t="s">
        <v>458</v>
      </c>
      <c r="F6" s="2" t="s">
        <v>512</v>
      </c>
    </row>
    <row r="8" spans="1:6" x14ac:dyDescent="0.4">
      <c r="A8" s="1" t="s">
        <v>486</v>
      </c>
      <c r="B8" t="s">
        <v>487</v>
      </c>
      <c r="C8" t="s">
        <v>443</v>
      </c>
      <c r="D8" s="2">
        <v>1360</v>
      </c>
      <c r="E8" s="2">
        <v>92507.645259938843</v>
      </c>
      <c r="F8" s="2">
        <v>125810397.55351683</v>
      </c>
    </row>
    <row r="9" spans="1:6" x14ac:dyDescent="0.4">
      <c r="A9" s="1" t="s">
        <v>467</v>
      </c>
      <c r="B9" t="s">
        <v>468</v>
      </c>
      <c r="C9" t="s">
        <v>433</v>
      </c>
      <c r="D9" s="2">
        <v>276.85000000000002</v>
      </c>
      <c r="E9" s="2">
        <v>318230</v>
      </c>
      <c r="F9" s="2">
        <v>88101975.5</v>
      </c>
    </row>
    <row r="10" spans="1:6" x14ac:dyDescent="0.4">
      <c r="A10" s="1" t="s">
        <v>464</v>
      </c>
      <c r="B10" t="s">
        <v>465</v>
      </c>
      <c r="C10" t="s">
        <v>466</v>
      </c>
      <c r="D10" s="2">
        <v>21750</v>
      </c>
      <c r="E10" s="2">
        <v>1765.9459459459458</v>
      </c>
      <c r="F10" s="2">
        <v>38409324.324324325</v>
      </c>
    </row>
    <row r="11" spans="1:6" x14ac:dyDescent="0.4">
      <c r="A11" s="1" t="s">
        <v>488</v>
      </c>
      <c r="B11" t="s">
        <v>489</v>
      </c>
      <c r="C11" t="s">
        <v>466</v>
      </c>
      <c r="D11" s="2">
        <v>4760</v>
      </c>
      <c r="E11" s="2">
        <v>4638.333333333333</v>
      </c>
      <c r="F11" s="2">
        <v>22078466.666666664</v>
      </c>
    </row>
    <row r="12" spans="1:6" x14ac:dyDescent="0.4">
      <c r="A12" s="1" t="s">
        <v>490</v>
      </c>
      <c r="B12" t="s">
        <v>491</v>
      </c>
      <c r="C12" t="s">
        <v>492</v>
      </c>
      <c r="D12" s="2">
        <v>40.799999999999997</v>
      </c>
      <c r="E12" s="2">
        <v>300000</v>
      </c>
      <c r="F12" s="2">
        <v>12240000</v>
      </c>
    </row>
    <row r="13" spans="1:6" x14ac:dyDescent="0.4">
      <c r="A13" s="1" t="s">
        <v>471</v>
      </c>
      <c r="B13" t="s">
        <v>472</v>
      </c>
      <c r="C13" t="s">
        <v>433</v>
      </c>
      <c r="D13" s="2">
        <v>34.65</v>
      </c>
      <c r="E13" s="2">
        <v>318230</v>
      </c>
      <c r="F13" s="2">
        <v>11026669.5</v>
      </c>
    </row>
    <row r="14" spans="1:6" x14ac:dyDescent="0.4">
      <c r="A14" s="1" t="s">
        <v>479</v>
      </c>
      <c r="B14" t="s">
        <v>480</v>
      </c>
      <c r="C14" t="s">
        <v>443</v>
      </c>
      <c r="D14" s="2">
        <v>455</v>
      </c>
      <c r="E14" s="2">
        <v>12800</v>
      </c>
      <c r="F14" s="2">
        <v>5824000</v>
      </c>
    </row>
    <row r="15" spans="1:6" x14ac:dyDescent="0.4">
      <c r="A15" s="1" t="s">
        <v>481</v>
      </c>
      <c r="B15" t="s">
        <v>482</v>
      </c>
      <c r="C15" t="s">
        <v>483</v>
      </c>
      <c r="D15" s="2">
        <v>776</v>
      </c>
      <c r="E15" s="2">
        <v>3296.0928961748627</v>
      </c>
      <c r="F15" s="2">
        <v>2557768.0874316934</v>
      </c>
    </row>
    <row r="16" spans="1:6" x14ac:dyDescent="0.4">
      <c r="A16" s="1" t="s">
        <v>475</v>
      </c>
      <c r="B16" t="s">
        <v>476</v>
      </c>
      <c r="C16" t="s">
        <v>466</v>
      </c>
      <c r="D16" s="2">
        <v>152.65</v>
      </c>
      <c r="E16" s="2">
        <v>4719</v>
      </c>
      <c r="F16" s="2">
        <v>720355.35</v>
      </c>
    </row>
    <row r="17" spans="1:6" x14ac:dyDescent="0.4">
      <c r="A17" s="1" t="s">
        <v>477</v>
      </c>
      <c r="B17" t="s">
        <v>478</v>
      </c>
      <c r="C17" t="s">
        <v>466</v>
      </c>
      <c r="D17" s="2">
        <v>135</v>
      </c>
      <c r="E17" s="2">
        <v>4559.28</v>
      </c>
      <c r="F17" s="2">
        <v>615502.79999999993</v>
      </c>
    </row>
    <row r="19" spans="1:6" x14ac:dyDescent="0.4">
      <c r="E19" s="2" t="s">
        <v>513</v>
      </c>
      <c r="F19" s="2">
        <v>307384459.78193951</v>
      </c>
    </row>
  </sheetData>
  <sortState xmlns:xlrd2="http://schemas.microsoft.com/office/spreadsheetml/2017/richdata2" ref="A8:F17">
    <sortCondition descending="1" ref="F8:F1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CC57E-BA7E-4F70-9509-9EEA93B05A5F}">
  <sheetPr codeName="Hoja6"/>
  <dimension ref="A3:L50"/>
  <sheetViews>
    <sheetView topLeftCell="A25" workbookViewId="0">
      <selection activeCell="D6" sqref="D6"/>
    </sheetView>
  </sheetViews>
  <sheetFormatPr baseColWidth="10" defaultRowHeight="14.6" x14ac:dyDescent="0.4"/>
  <cols>
    <col min="1" max="1" width="11.07421875" style="4"/>
    <col min="4" max="4" width="11.07421875" style="2"/>
    <col min="8" max="10" width="11.07421875" style="2"/>
    <col min="11" max="11" width="13.4609375" style="2" bestFit="1" customWidth="1"/>
    <col min="12" max="12" width="11.07421875" style="2"/>
  </cols>
  <sheetData>
    <row r="3" spans="1:12" x14ac:dyDescent="0.4">
      <c r="A3" s="4" t="s">
        <v>516</v>
      </c>
      <c r="B3" t="s">
        <v>2</v>
      </c>
      <c r="C3" t="s">
        <v>452</v>
      </c>
      <c r="D3" s="2" t="s">
        <v>453</v>
      </c>
      <c r="E3" t="s">
        <v>454</v>
      </c>
      <c r="F3" t="s">
        <v>455</v>
      </c>
      <c r="G3" t="s">
        <v>452</v>
      </c>
      <c r="H3" s="2" t="s">
        <v>517</v>
      </c>
      <c r="I3" s="2" t="s">
        <v>518</v>
      </c>
      <c r="J3" s="2" t="s">
        <v>458</v>
      </c>
      <c r="K3" s="2" t="s">
        <v>514</v>
      </c>
      <c r="L3" s="2" t="s">
        <v>519</v>
      </c>
    </row>
    <row r="5" spans="1:12" x14ac:dyDescent="0.4">
      <c r="A5" s="4" t="s">
        <v>431</v>
      </c>
      <c r="B5" t="s">
        <v>444</v>
      </c>
      <c r="C5" t="s">
        <v>433</v>
      </c>
      <c r="D5" s="2">
        <v>265</v>
      </c>
      <c r="E5" s="1" t="s">
        <v>460</v>
      </c>
      <c r="F5" t="s">
        <v>461</v>
      </c>
      <c r="G5" t="s">
        <v>433</v>
      </c>
      <c r="H5" s="2">
        <v>1</v>
      </c>
      <c r="I5" s="2">
        <v>265</v>
      </c>
      <c r="J5" s="2">
        <v>55000</v>
      </c>
      <c r="K5" s="2">
        <v>14575000</v>
      </c>
      <c r="L5" s="2">
        <v>34</v>
      </c>
    </row>
    <row r="6" spans="1:12" x14ac:dyDescent="0.4">
      <c r="K6" s="2">
        <f>SUBTOTAL(9, K4:K5)</f>
        <v>14575000</v>
      </c>
      <c r="L6" s="2">
        <f>SUBTOTAL(9, L4:L5)</f>
        <v>34</v>
      </c>
    </row>
    <row r="8" spans="1:12" x14ac:dyDescent="0.4">
      <c r="A8" s="4" t="s">
        <v>434</v>
      </c>
      <c r="B8" t="s">
        <v>446</v>
      </c>
      <c r="C8" t="s">
        <v>433</v>
      </c>
      <c r="D8" s="2">
        <v>88</v>
      </c>
      <c r="E8" s="1" t="s">
        <v>462</v>
      </c>
      <c r="F8" t="s">
        <v>463</v>
      </c>
      <c r="G8" t="s">
        <v>433</v>
      </c>
      <c r="H8" s="2">
        <v>1</v>
      </c>
      <c r="I8" s="2">
        <v>88</v>
      </c>
      <c r="J8" s="2">
        <v>450000</v>
      </c>
      <c r="K8" s="2">
        <v>39600000</v>
      </c>
      <c r="L8" s="2">
        <v>11</v>
      </c>
    </row>
    <row r="9" spans="1:12" x14ac:dyDescent="0.4">
      <c r="K9" s="2">
        <f>SUBTOTAL(9, K7:K8)</f>
        <v>39600000</v>
      </c>
      <c r="L9" s="2">
        <f>SUBTOTAL(9, L7:L8)</f>
        <v>11</v>
      </c>
    </row>
    <row r="11" spans="1:12" x14ac:dyDescent="0.4">
      <c r="A11" s="4" t="s">
        <v>436</v>
      </c>
      <c r="B11" t="s">
        <v>445</v>
      </c>
      <c r="C11" t="s">
        <v>433</v>
      </c>
      <c r="D11" s="2">
        <v>33</v>
      </c>
      <c r="E11" s="1" t="s">
        <v>469</v>
      </c>
      <c r="F11" t="s">
        <v>470</v>
      </c>
      <c r="G11" t="s">
        <v>433</v>
      </c>
      <c r="H11" s="2">
        <v>1</v>
      </c>
      <c r="I11" s="2">
        <v>33</v>
      </c>
      <c r="J11" s="2">
        <v>500000</v>
      </c>
      <c r="K11" s="2">
        <v>16500000</v>
      </c>
      <c r="L11" s="2">
        <v>5</v>
      </c>
    </row>
    <row r="12" spans="1:12" x14ac:dyDescent="0.4">
      <c r="K12" s="2">
        <f>SUBTOTAL(9, K10:K11)</f>
        <v>16500000</v>
      </c>
      <c r="L12" s="2">
        <f>SUBTOTAL(9, L10:L11)</f>
        <v>5</v>
      </c>
    </row>
    <row r="14" spans="1:12" x14ac:dyDescent="0.4">
      <c r="A14" s="4" t="s">
        <v>438</v>
      </c>
      <c r="B14" t="s">
        <v>448</v>
      </c>
      <c r="C14" t="s">
        <v>433</v>
      </c>
      <c r="D14" s="2">
        <v>7</v>
      </c>
      <c r="E14" s="1" t="s">
        <v>473</v>
      </c>
      <c r="F14" t="s">
        <v>474</v>
      </c>
      <c r="G14" t="s">
        <v>433</v>
      </c>
      <c r="H14" s="2">
        <v>1</v>
      </c>
      <c r="I14" s="2">
        <v>7</v>
      </c>
      <c r="J14" s="2">
        <v>400000</v>
      </c>
      <c r="K14" s="2">
        <v>2800000</v>
      </c>
      <c r="L14" s="2">
        <v>1</v>
      </c>
    </row>
    <row r="15" spans="1:12" x14ac:dyDescent="0.4">
      <c r="K15" s="2">
        <f>SUBTOTAL(9, K13:K14)</f>
        <v>2800000</v>
      </c>
      <c r="L15" s="2">
        <f>SUBTOTAL(9, L13:L14)</f>
        <v>1</v>
      </c>
    </row>
    <row r="17" spans="1:12" x14ac:dyDescent="0.4">
      <c r="A17" s="4" t="s">
        <v>440</v>
      </c>
      <c r="B17" t="s">
        <v>447</v>
      </c>
      <c r="C17" t="s">
        <v>433</v>
      </c>
      <c r="D17" s="2">
        <v>35</v>
      </c>
      <c r="E17" s="1" t="s">
        <v>484</v>
      </c>
      <c r="F17" t="s">
        <v>485</v>
      </c>
      <c r="G17" t="s">
        <v>433</v>
      </c>
      <c r="H17" s="2">
        <v>1</v>
      </c>
      <c r="I17" s="2">
        <v>35</v>
      </c>
      <c r="J17" s="2">
        <v>600000</v>
      </c>
      <c r="K17" s="2">
        <v>21000000</v>
      </c>
      <c r="L17" s="2">
        <v>5</v>
      </c>
    </row>
    <row r="18" spans="1:12" x14ac:dyDescent="0.4">
      <c r="K18" s="2">
        <f>SUBTOTAL(9, K16:K17)</f>
        <v>21000000</v>
      </c>
      <c r="L18" s="2">
        <f>SUBTOTAL(9, L16:L17)</f>
        <v>5</v>
      </c>
    </row>
    <row r="20" spans="1:12" x14ac:dyDescent="0.4">
      <c r="A20" s="4">
        <v>1248</v>
      </c>
      <c r="B20" t="s">
        <v>500</v>
      </c>
      <c r="C20" t="s">
        <v>443</v>
      </c>
      <c r="D20" s="2">
        <v>650</v>
      </c>
      <c r="E20" s="1" t="s">
        <v>506</v>
      </c>
      <c r="F20" t="s">
        <v>507</v>
      </c>
      <c r="G20" t="s">
        <v>492</v>
      </c>
      <c r="H20" s="2">
        <v>0.05</v>
      </c>
      <c r="I20" s="2">
        <v>32.5</v>
      </c>
      <c r="J20" s="2">
        <v>15000</v>
      </c>
      <c r="K20" s="2">
        <v>487500</v>
      </c>
      <c r="L20" s="2">
        <v>5</v>
      </c>
    </row>
    <row r="21" spans="1:12" x14ac:dyDescent="0.4">
      <c r="A21" s="4">
        <v>1248</v>
      </c>
      <c r="B21" t="s">
        <v>500</v>
      </c>
      <c r="C21" t="s">
        <v>443</v>
      </c>
      <c r="D21" s="2">
        <v>650</v>
      </c>
      <c r="E21" s="1" t="s">
        <v>508</v>
      </c>
      <c r="F21" t="s">
        <v>509</v>
      </c>
      <c r="G21" t="s">
        <v>492</v>
      </c>
      <c r="H21" s="2">
        <v>0.1</v>
      </c>
      <c r="I21" s="2">
        <v>65</v>
      </c>
      <c r="J21" s="2">
        <v>10000</v>
      </c>
      <c r="K21" s="2">
        <v>650000</v>
      </c>
      <c r="L21" s="2">
        <v>9</v>
      </c>
    </row>
    <row r="22" spans="1:12" x14ac:dyDescent="0.4">
      <c r="K22" s="2">
        <f>SUBTOTAL(9, K19:K21)</f>
        <v>1137500</v>
      </c>
      <c r="L22" s="2">
        <f>SUBTOTAL(9, L19:L21)</f>
        <v>14</v>
      </c>
    </row>
    <row r="24" spans="1:12" x14ac:dyDescent="0.4">
      <c r="A24" s="4">
        <v>1249</v>
      </c>
      <c r="B24" t="s">
        <v>501</v>
      </c>
      <c r="C24" t="s">
        <v>443</v>
      </c>
      <c r="D24" s="2">
        <v>650</v>
      </c>
      <c r="E24" s="1" t="s">
        <v>506</v>
      </c>
      <c r="F24" t="s">
        <v>507</v>
      </c>
      <c r="G24" t="s">
        <v>492</v>
      </c>
      <c r="H24" s="2">
        <v>0.1</v>
      </c>
      <c r="I24" s="2">
        <v>65</v>
      </c>
      <c r="J24" s="2">
        <v>15000</v>
      </c>
      <c r="K24" s="2">
        <v>975000</v>
      </c>
      <c r="L24" s="2">
        <v>9</v>
      </c>
    </row>
    <row r="25" spans="1:12" x14ac:dyDescent="0.4">
      <c r="A25" s="4">
        <v>1249</v>
      </c>
      <c r="B25" t="s">
        <v>501</v>
      </c>
      <c r="C25" t="s">
        <v>443</v>
      </c>
      <c r="D25" s="2">
        <v>650</v>
      </c>
      <c r="E25" s="1" t="s">
        <v>508</v>
      </c>
      <c r="F25" t="s">
        <v>509</v>
      </c>
      <c r="G25" t="s">
        <v>492</v>
      </c>
      <c r="H25" s="2">
        <v>0.6</v>
      </c>
      <c r="I25" s="2">
        <v>390</v>
      </c>
      <c r="J25" s="2">
        <v>10000</v>
      </c>
      <c r="K25" s="2">
        <v>3900000</v>
      </c>
      <c r="L25" s="2">
        <v>49</v>
      </c>
    </row>
    <row r="26" spans="1:12" x14ac:dyDescent="0.4">
      <c r="K26" s="2">
        <f>SUBTOTAL(9, K23:K25)</f>
        <v>4875000</v>
      </c>
      <c r="L26" s="2">
        <f>SUBTOTAL(9, L23:L25)</f>
        <v>58</v>
      </c>
    </row>
    <row r="28" spans="1:12" x14ac:dyDescent="0.4">
      <c r="A28" s="4">
        <v>1250</v>
      </c>
      <c r="B28" t="s">
        <v>502</v>
      </c>
      <c r="C28" t="s">
        <v>443</v>
      </c>
      <c r="D28" s="2">
        <v>650</v>
      </c>
      <c r="E28" s="1" t="s">
        <v>506</v>
      </c>
      <c r="F28" t="s">
        <v>507</v>
      </c>
      <c r="G28" t="s">
        <v>492</v>
      </c>
      <c r="H28" s="2">
        <v>0.05</v>
      </c>
      <c r="I28" s="2">
        <v>32.5</v>
      </c>
      <c r="J28" s="2">
        <v>15000</v>
      </c>
      <c r="K28" s="2">
        <v>487500</v>
      </c>
      <c r="L28" s="2">
        <v>5</v>
      </c>
    </row>
    <row r="29" spans="1:12" x14ac:dyDescent="0.4">
      <c r="A29" s="4">
        <v>1250</v>
      </c>
      <c r="B29" t="s">
        <v>502</v>
      </c>
      <c r="C29" t="s">
        <v>443</v>
      </c>
      <c r="D29" s="2">
        <v>650</v>
      </c>
      <c r="E29" s="1" t="s">
        <v>508</v>
      </c>
      <c r="F29" t="s">
        <v>509</v>
      </c>
      <c r="G29" t="s">
        <v>492</v>
      </c>
      <c r="H29" s="2">
        <v>0.15</v>
      </c>
      <c r="I29" s="2">
        <v>97.5</v>
      </c>
      <c r="J29" s="2">
        <v>10000</v>
      </c>
      <c r="K29" s="2">
        <v>975000</v>
      </c>
      <c r="L29" s="2">
        <v>13</v>
      </c>
    </row>
    <row r="30" spans="1:12" x14ac:dyDescent="0.4">
      <c r="K30" s="2">
        <f>SUBTOTAL(9, K27:K29)</f>
        <v>1462500</v>
      </c>
      <c r="L30" s="2">
        <f>SUBTOTAL(9, L27:L29)</f>
        <v>18</v>
      </c>
    </row>
    <row r="32" spans="1:12" x14ac:dyDescent="0.4">
      <c r="A32" s="4" t="s">
        <v>438</v>
      </c>
      <c r="B32" t="s">
        <v>449</v>
      </c>
      <c r="C32" t="s">
        <v>433</v>
      </c>
      <c r="D32" s="2">
        <v>8</v>
      </c>
      <c r="E32" s="1" t="s">
        <v>473</v>
      </c>
      <c r="F32" t="s">
        <v>474</v>
      </c>
      <c r="G32" t="s">
        <v>433</v>
      </c>
      <c r="H32" s="2">
        <v>1</v>
      </c>
      <c r="I32" s="2">
        <v>8</v>
      </c>
      <c r="J32" s="2">
        <v>400000</v>
      </c>
      <c r="K32" s="2">
        <v>3200000</v>
      </c>
      <c r="L32" s="2">
        <v>1</v>
      </c>
    </row>
    <row r="33" spans="1:12" x14ac:dyDescent="0.4">
      <c r="K33" s="2">
        <f>SUBTOTAL(9, K31:K32)</f>
        <v>3200000</v>
      </c>
      <c r="L33" s="2">
        <f>SUBTOTAL(9, L31:L32)</f>
        <v>1</v>
      </c>
    </row>
    <row r="35" spans="1:12" x14ac:dyDescent="0.4">
      <c r="A35" s="4" t="s">
        <v>440</v>
      </c>
      <c r="B35" t="s">
        <v>450</v>
      </c>
      <c r="C35" t="s">
        <v>433</v>
      </c>
      <c r="D35" s="2">
        <v>35</v>
      </c>
      <c r="E35" s="1" t="s">
        <v>484</v>
      </c>
      <c r="F35" t="s">
        <v>485</v>
      </c>
      <c r="G35" t="s">
        <v>433</v>
      </c>
      <c r="H35" s="2">
        <v>1</v>
      </c>
      <c r="I35" s="2">
        <v>35</v>
      </c>
      <c r="J35" s="2">
        <v>600000</v>
      </c>
      <c r="K35" s="2">
        <v>21000000</v>
      </c>
      <c r="L35" s="2">
        <v>5</v>
      </c>
    </row>
    <row r="36" spans="1:12" x14ac:dyDescent="0.4">
      <c r="K36" s="2">
        <f>SUBTOTAL(9, K34:K35)</f>
        <v>21000000</v>
      </c>
      <c r="L36" s="2">
        <f>SUBTOTAL(9, L34:L35)</f>
        <v>5</v>
      </c>
    </row>
    <row r="38" spans="1:12" x14ac:dyDescent="0.4">
      <c r="A38" s="4">
        <v>1248</v>
      </c>
      <c r="B38" t="s">
        <v>503</v>
      </c>
      <c r="C38" t="s">
        <v>443</v>
      </c>
      <c r="D38" s="2">
        <v>710</v>
      </c>
      <c r="E38" s="1" t="s">
        <v>506</v>
      </c>
      <c r="F38" t="s">
        <v>507</v>
      </c>
      <c r="G38" t="s">
        <v>492</v>
      </c>
      <c r="H38" s="2">
        <v>0.05</v>
      </c>
      <c r="I38" s="2">
        <v>35.5</v>
      </c>
      <c r="J38" s="2">
        <v>15000</v>
      </c>
      <c r="K38" s="2">
        <v>532500</v>
      </c>
      <c r="L38" s="2">
        <v>5</v>
      </c>
    </row>
    <row r="39" spans="1:12" x14ac:dyDescent="0.4">
      <c r="A39" s="4">
        <v>1248</v>
      </c>
      <c r="B39" t="s">
        <v>503</v>
      </c>
      <c r="C39" t="s">
        <v>443</v>
      </c>
      <c r="D39" s="2">
        <v>710</v>
      </c>
      <c r="E39" s="1" t="s">
        <v>508</v>
      </c>
      <c r="F39" t="s">
        <v>509</v>
      </c>
      <c r="G39" t="s">
        <v>492</v>
      </c>
      <c r="H39" s="2">
        <v>0.1</v>
      </c>
      <c r="I39" s="2">
        <v>71</v>
      </c>
      <c r="J39" s="2">
        <v>10000</v>
      </c>
      <c r="K39" s="2">
        <v>710000</v>
      </c>
      <c r="L39" s="2">
        <v>9</v>
      </c>
    </row>
    <row r="40" spans="1:12" x14ac:dyDescent="0.4">
      <c r="K40" s="2">
        <f>SUBTOTAL(9, K37:K39)</f>
        <v>1242500</v>
      </c>
      <c r="L40" s="2">
        <f>SUBTOTAL(9, L37:L39)</f>
        <v>14</v>
      </c>
    </row>
    <row r="42" spans="1:12" x14ac:dyDescent="0.4">
      <c r="A42" s="4">
        <v>1249</v>
      </c>
      <c r="B42" t="s">
        <v>504</v>
      </c>
      <c r="C42" t="s">
        <v>443</v>
      </c>
      <c r="D42" s="2">
        <v>710</v>
      </c>
      <c r="E42" s="1" t="s">
        <v>506</v>
      </c>
      <c r="F42" t="s">
        <v>507</v>
      </c>
      <c r="G42" t="s">
        <v>492</v>
      </c>
      <c r="H42" s="2">
        <v>0.1</v>
      </c>
      <c r="I42" s="2">
        <v>71</v>
      </c>
      <c r="J42" s="2">
        <v>15000</v>
      </c>
      <c r="K42" s="2">
        <v>1065000</v>
      </c>
      <c r="L42" s="2">
        <v>9</v>
      </c>
    </row>
    <row r="43" spans="1:12" x14ac:dyDescent="0.4">
      <c r="A43" s="4">
        <v>1249</v>
      </c>
      <c r="B43" t="s">
        <v>504</v>
      </c>
      <c r="C43" t="s">
        <v>443</v>
      </c>
      <c r="D43" s="2">
        <v>710</v>
      </c>
      <c r="E43" s="1" t="s">
        <v>508</v>
      </c>
      <c r="F43" t="s">
        <v>509</v>
      </c>
      <c r="G43" t="s">
        <v>492</v>
      </c>
      <c r="H43" s="2">
        <v>0.6</v>
      </c>
      <c r="I43" s="2">
        <v>426</v>
      </c>
      <c r="J43" s="2">
        <v>10000</v>
      </c>
      <c r="K43" s="2">
        <v>4260000</v>
      </c>
      <c r="L43" s="2">
        <v>54</v>
      </c>
    </row>
    <row r="44" spans="1:12" x14ac:dyDescent="0.4">
      <c r="K44" s="2">
        <f>SUBTOTAL(9, K41:K43)</f>
        <v>5325000</v>
      </c>
      <c r="L44" s="2">
        <f>SUBTOTAL(9, L41:L43)</f>
        <v>63</v>
      </c>
    </row>
    <row r="46" spans="1:12" x14ac:dyDescent="0.4">
      <c r="A46" s="4">
        <v>1250</v>
      </c>
      <c r="B46" t="s">
        <v>505</v>
      </c>
      <c r="C46" t="s">
        <v>443</v>
      </c>
      <c r="D46" s="2">
        <v>710</v>
      </c>
      <c r="E46" s="1" t="s">
        <v>506</v>
      </c>
      <c r="F46" t="s">
        <v>507</v>
      </c>
      <c r="G46" t="s">
        <v>492</v>
      </c>
      <c r="H46" s="2">
        <v>0.05</v>
      </c>
      <c r="I46" s="2">
        <v>35.5</v>
      </c>
      <c r="J46" s="2">
        <v>15000</v>
      </c>
      <c r="K46" s="2">
        <v>532500</v>
      </c>
      <c r="L46" s="2">
        <v>5</v>
      </c>
    </row>
    <row r="47" spans="1:12" x14ac:dyDescent="0.4">
      <c r="A47" s="4">
        <v>1250</v>
      </c>
      <c r="B47" t="s">
        <v>505</v>
      </c>
      <c r="C47" t="s">
        <v>443</v>
      </c>
      <c r="D47" s="2">
        <v>710</v>
      </c>
      <c r="E47" s="1" t="s">
        <v>508</v>
      </c>
      <c r="F47" t="s">
        <v>509</v>
      </c>
      <c r="G47" t="s">
        <v>492</v>
      </c>
      <c r="H47" s="2">
        <v>0.15</v>
      </c>
      <c r="I47" s="2">
        <v>106.5</v>
      </c>
      <c r="J47" s="2">
        <v>10000</v>
      </c>
      <c r="K47" s="2">
        <v>1065000</v>
      </c>
      <c r="L47" s="2">
        <v>14</v>
      </c>
    </row>
    <row r="48" spans="1:12" x14ac:dyDescent="0.4">
      <c r="K48" s="2">
        <f>SUBTOTAL(9, K45:K47)</f>
        <v>1597500</v>
      </c>
      <c r="L48" s="2">
        <f>SUBTOTAL(9, L45:L47)</f>
        <v>19</v>
      </c>
    </row>
    <row r="50" spans="9:12" x14ac:dyDescent="0.4">
      <c r="I50" s="2" t="s">
        <v>515</v>
      </c>
      <c r="K50" s="2">
        <f>SUM(K4:K49)/2</f>
        <v>134315000</v>
      </c>
      <c r="L50" s="2">
        <f>SUM(L4:L49)/2</f>
        <v>248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Tareas</vt:lpstr>
      <vt:lpstr>Insumos</vt:lpstr>
      <vt:lpstr>TDiscriminadas</vt:lpstr>
      <vt:lpstr>Materiales</vt:lpstr>
      <vt:lpstr>MdeODetallado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A. Marseillan</dc:creator>
  <cp:lastModifiedBy>Francisco A. Marseillan</cp:lastModifiedBy>
  <dcterms:created xsi:type="dcterms:W3CDTF">2025-01-28T23:39:35Z</dcterms:created>
  <dcterms:modified xsi:type="dcterms:W3CDTF">2026-07-18T21:35:44Z</dcterms:modified>
</cp:coreProperties>
</file>